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tjtech/Library/Mobile Documents/com~apple~CloudDocs/NoonnoonBossBoss/Noonkitty eco/Eco Air New By Noon/ใบกำกับภาษี-ใบเสร็จรับเงิน/2026/"/>
    </mc:Choice>
  </mc:AlternateContent>
  <xr:revisionPtr revIDLastSave="0" documentId="8_{0A35F925-B530-F74F-A5FB-8913A5C4B15C}" xr6:coauthVersionLast="47" xr6:coauthVersionMax="47" xr10:uidLastSave="{00000000-0000-0000-0000-000000000000}"/>
  <bookViews>
    <workbookView xWindow="20" yWindow="660" windowWidth="28220" windowHeight="15700" firstSheet="5" activeTab="13" xr2:uid="{00000000-000D-0000-FFFF-FFFF00000000}"/>
  </bookViews>
  <sheets>
    <sheet name="ใบกำกับภาษี (Original)" sheetId="1" r:id="rId1"/>
    <sheet name="ใบกำกับภาษี (Copy)" sheetId="6" r:id="rId2"/>
    <sheet name="ใบกำกับภาษี (Copy Acc) " sheetId="15" r:id="rId3"/>
    <sheet name="ใบเสร็จรับเงิน Original" sheetId="7" r:id="rId4"/>
    <sheet name="ใบเสร็จรับเงิน Copy" sheetId="17" r:id="rId5"/>
    <sheet name="ใบเสร็จรับเงิน Copy Acc" sheetId="18" r:id="rId6"/>
    <sheet name="ใบลดหนี้ (Original)" sheetId="8" r:id="rId7"/>
    <sheet name="ใบลดหนี้ (Copy)" sheetId="13" r:id="rId8"/>
    <sheet name="ใบลดหนี้ (copy Acc) " sheetId="14" r:id="rId9"/>
    <sheet name="ใบเพิ่มหนี้" sheetId="9" r:id="rId10"/>
    <sheet name="ใบเสร็จรับเงินรายได้อื่น" sheetId="10" r:id="rId11"/>
    <sheet name="ใบวางบิล ต้นฉบับ" sheetId="11" r:id="rId12"/>
    <sheet name="ใบวางบิล (สำเนา)" sheetId="16" r:id="rId13"/>
    <sheet name="ใบวางบิล (สำเนา) (2)" sheetId="19" r:id="rId14"/>
  </sheets>
  <externalReferences>
    <externalReference r:id="rId1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9" l="1"/>
  <c r="A16" i="19"/>
  <c r="H16" i="16"/>
  <c r="A16" i="16"/>
  <c r="K16" i="15"/>
  <c r="K16" i="6"/>
  <c r="A16" i="18" l="1"/>
  <c r="B10" i="19" l="1"/>
  <c r="B9" i="19"/>
  <c r="B8" i="19"/>
  <c r="B10" i="16"/>
  <c r="B9" i="16"/>
  <c r="B8" i="16"/>
  <c r="B10" i="11"/>
  <c r="B9" i="11"/>
  <c r="B8" i="11"/>
  <c r="A16" i="7" l="1"/>
  <c r="K28" i="15"/>
  <c r="K28" i="6"/>
  <c r="A5" i="19"/>
  <c r="A4" i="19"/>
  <c r="A3" i="19"/>
  <c r="A2" i="19"/>
  <c r="A1" i="19"/>
  <c r="E38" i="18"/>
  <c r="B11" i="18"/>
  <c r="B10" i="18"/>
  <c r="B9" i="18"/>
  <c r="B8" i="18"/>
  <c r="A5" i="18"/>
  <c r="A4" i="18"/>
  <c r="A3" i="18"/>
  <c r="A2" i="18"/>
  <c r="A1" i="18"/>
  <c r="E38" i="17"/>
  <c r="B11" i="17"/>
  <c r="B10" i="17"/>
  <c r="B9" i="17"/>
  <c r="B8" i="17"/>
  <c r="A5" i="17"/>
  <c r="A4" i="17"/>
  <c r="A3" i="17"/>
  <c r="A2" i="17"/>
  <c r="A1" i="17"/>
  <c r="A5" i="16"/>
  <c r="A4" i="16"/>
  <c r="A3" i="16"/>
  <c r="A2" i="16"/>
  <c r="A1" i="16"/>
  <c r="E38" i="15"/>
  <c r="I10" i="15"/>
  <c r="B10" i="15"/>
  <c r="I9" i="15"/>
  <c r="B9" i="15"/>
  <c r="B8" i="15"/>
  <c r="J6" i="15"/>
  <c r="J5" i="15"/>
  <c r="A5" i="15"/>
  <c r="A4" i="15"/>
  <c r="A3" i="15"/>
  <c r="A2" i="15"/>
  <c r="A1" i="15"/>
  <c r="K28" i="14"/>
  <c r="K17" i="14"/>
  <c r="K16" i="14"/>
  <c r="K28" i="13"/>
  <c r="K17" i="13"/>
  <c r="K16" i="13"/>
  <c r="K27" i="13"/>
  <c r="K29" i="13"/>
  <c r="K30" i="13"/>
  <c r="K31" i="13"/>
  <c r="A31" i="13"/>
  <c r="K27" i="14"/>
  <c r="K29" i="14"/>
  <c r="K30" i="14"/>
  <c r="K31" i="14"/>
  <c r="A31" i="14"/>
  <c r="K29" i="15"/>
  <c r="A16" i="11"/>
  <c r="A5" i="11"/>
  <c r="A4" i="11"/>
  <c r="A3" i="11"/>
  <c r="A2" i="11"/>
  <c r="A1" i="11"/>
  <c r="A32" i="10"/>
  <c r="K24" i="10"/>
  <c r="K25" i="10"/>
  <c r="A5" i="10"/>
  <c r="A4" i="10"/>
  <c r="A3" i="10"/>
  <c r="A2" i="10"/>
  <c r="A1" i="10"/>
  <c r="K24" i="9"/>
  <c r="K23" i="9"/>
  <c r="K28" i="8"/>
  <c r="K17" i="8"/>
  <c r="K16" i="8"/>
  <c r="K27" i="8"/>
  <c r="K29" i="8"/>
  <c r="K30" i="8"/>
  <c r="K31" i="8"/>
  <c r="A31" i="8"/>
  <c r="K25" i="9"/>
  <c r="K28" i="9"/>
  <c r="K29" i="9"/>
  <c r="A29" i="9"/>
  <c r="K26" i="10"/>
  <c r="K28" i="10"/>
  <c r="A28" i="10"/>
  <c r="E38" i="7"/>
  <c r="A3" i="7"/>
  <c r="A4" i="7"/>
  <c r="A5" i="7"/>
  <c r="A2" i="7"/>
  <c r="A5" i="6"/>
  <c r="A4" i="6"/>
  <c r="A3" i="6"/>
  <c r="A2" i="6"/>
  <c r="E38" i="6"/>
  <c r="K16" i="1"/>
  <c r="K28" i="1" s="1"/>
  <c r="A1" i="7"/>
  <c r="A1" i="6"/>
  <c r="K29" i="1"/>
  <c r="K29" i="7" s="1"/>
  <c r="B11" i="7"/>
  <c r="K26" i="9"/>
  <c r="K27" i="9"/>
  <c r="K28" i="17"/>
  <c r="B10" i="7"/>
  <c r="B8" i="7"/>
  <c r="B9" i="7"/>
  <c r="B10" i="6"/>
  <c r="B9" i="6"/>
  <c r="B8" i="6"/>
  <c r="I10" i="6"/>
  <c r="I9" i="6"/>
  <c r="J6" i="6"/>
  <c r="J5" i="6"/>
  <c r="K28" i="18"/>
  <c r="K29" i="6"/>
  <c r="K28" i="7"/>
  <c r="K30" i="6" l="1"/>
  <c r="K31" i="6" s="1"/>
  <c r="K32" i="6" s="1"/>
  <c r="A32" i="6" s="1"/>
  <c r="K30" i="15"/>
  <c r="K31" i="15" s="1"/>
  <c r="K32" i="15" s="1"/>
  <c r="A32" i="15" s="1"/>
  <c r="K30" i="7"/>
  <c r="K30" i="1"/>
  <c r="K31" i="1" s="1"/>
  <c r="K29" i="18"/>
  <c r="K30" i="18" s="1"/>
  <c r="K29" i="17"/>
  <c r="K30" i="17" s="1"/>
  <c r="K31" i="7" l="1"/>
  <c r="K32" i="7" s="1"/>
  <c r="A32" i="7" s="1"/>
  <c r="K32" i="1"/>
  <c r="K31" i="17"/>
  <c r="K32" i="17" s="1"/>
  <c r="A32" i="17" s="1"/>
  <c r="K31" i="18"/>
  <c r="K32" i="18" s="1"/>
  <c r="A32" i="18" s="1"/>
  <c r="A32" i="1" l="1"/>
  <c r="H16" i="11"/>
  <c r="H25" i="11" s="1"/>
  <c r="H27" i="11" s="1"/>
  <c r="A27" i="11" s="1"/>
  <c r="H25" i="19"/>
  <c r="H27" i="19" s="1"/>
  <c r="A27" i="19" s="1"/>
  <c r="H25" i="16"/>
  <c r="H27" i="16" s="1"/>
  <c r="A27" i="16" s="1"/>
</calcChain>
</file>

<file path=xl/sharedStrings.xml><?xml version="1.0" encoding="utf-8"?>
<sst xmlns="http://schemas.openxmlformats.org/spreadsheetml/2006/main" count="613" uniqueCount="117">
  <si>
    <t>ชื่อลูกค้า :</t>
  </si>
  <si>
    <t>Tax ID :</t>
  </si>
  <si>
    <t>ที่อยู่ :</t>
  </si>
  <si>
    <t>โทร :</t>
  </si>
  <si>
    <t>NO.</t>
  </si>
  <si>
    <t>รหัสสินค้า</t>
  </si>
  <si>
    <t>รายการสินค้า</t>
  </si>
  <si>
    <t>จำนวน</t>
  </si>
  <si>
    <t>ราคาต่อหน่วย</t>
  </si>
  <si>
    <t>จำนวนเงิน</t>
  </si>
  <si>
    <t>Code</t>
  </si>
  <si>
    <t>Product or Service</t>
  </si>
  <si>
    <t>Unit</t>
  </si>
  <si>
    <t>Unit  Price</t>
  </si>
  <si>
    <t>Amount BATH</t>
  </si>
  <si>
    <t>Discount</t>
  </si>
  <si>
    <t>วันที่</t>
  </si>
  <si>
    <t>เงี่อนไขชำระ:</t>
  </si>
  <si>
    <t>ครบกำหนด :</t>
  </si>
  <si>
    <t>รวม</t>
  </si>
  <si>
    <t>รวมเป็นเงิน</t>
  </si>
  <si>
    <t>รวมเงินทั้งสิ้น</t>
  </si>
  <si>
    <r>
      <rPr>
        <b/>
        <u/>
        <sz val="14"/>
        <color theme="1"/>
        <rFont val="Angsana New"/>
        <family val="1"/>
      </rPr>
      <t>หัก</t>
    </r>
    <r>
      <rPr>
        <b/>
        <sz val="14"/>
        <color theme="1"/>
        <rFont val="Angsana New"/>
        <family val="1"/>
      </rPr>
      <t xml:space="preserve"> ส่วนลด</t>
    </r>
  </si>
  <si>
    <t>ผู้มีอำนาจลงนาม</t>
  </si>
  <si>
    <t>ลงชื้อ</t>
  </si>
  <si>
    <t>(................................................................)</t>
  </si>
  <si>
    <t>.................................................................</t>
  </si>
  <si>
    <t>........................................................................</t>
  </si>
  <si>
    <t xml:space="preserve">     แล้วในสภาพเรียบร้อย</t>
  </si>
  <si>
    <t xml:space="preserve">  หมายเหตุ :</t>
  </si>
  <si>
    <t>***สินค้าตามใบส่งของนี้ แม้จะได้ส่งมอบแก่ผู้ซื้อแล้วยังคงเป็นสินทรัพย์ของผู้ขาย จนกว่าผู้ซื้อได้ชำระเงินเสร็จเรียบร้อยแล้ว***</t>
  </si>
  <si>
    <t xml:space="preserve">  1. ได้รับสินค้าตามรายการข้างบน</t>
  </si>
  <si>
    <t xml:space="preserve">  2. ราคาสินค้าถูกต้องตามที่ตกลง</t>
  </si>
  <si>
    <t xml:space="preserve">  3. กรณีที่ลูกค้าผิดนัดชำระตามกำหนด</t>
  </si>
  <si>
    <t xml:space="preserve">      บริษัทฯจะคิดดอกเบี้ยอัตรา 1.5%</t>
  </si>
  <si>
    <t xml:space="preserve">      ต่อเดือน</t>
  </si>
  <si>
    <t>เลขที่ :</t>
  </si>
  <si>
    <t>วันที่ :</t>
  </si>
  <si>
    <t xml:space="preserve">                       ผู้รับสินค้า</t>
  </si>
  <si>
    <t>ใบเสนอราคาเลขที่ :</t>
  </si>
  <si>
    <t>เงี่อนไขชำระ :</t>
  </si>
  <si>
    <t>ส่วนลด</t>
  </si>
  <si>
    <t>POWER CLEAN PLUS Co., LTD.</t>
  </si>
  <si>
    <t>IV1908/001</t>
  </si>
  <si>
    <t>( นายสันติ เหล่าสุโพธิ์ )</t>
  </si>
  <si>
    <t>บริษัท เพาเวอร์ คลีน พลัส จำกัด สำนักงานใหญ่</t>
  </si>
  <si>
    <t>เลขที่ 250/65 ม.5 ต.เมืองเก่า อ.เมืองขอนแก่น จ.ขอนแก่น 40000</t>
  </si>
  <si>
    <t>เลขประจำตัวผู้เสียภาษี 0405562003569</t>
  </si>
  <si>
    <t>TEL. 061-6956633 , 063-3242978</t>
  </si>
  <si>
    <t>ECO Cool Air + ECO Plus</t>
  </si>
  <si>
    <t>Spa Ozone Plus</t>
  </si>
  <si>
    <t>***ได้รับรายงานนี้ไว้ข้างต้นถูกต้องเรียบร้อยแล้ว***</t>
  </si>
  <si>
    <t>ลงชื่อ</t>
  </si>
  <si>
    <t xml:space="preserve">                       ผู้ส่งสินค้า</t>
  </si>
  <si>
    <t>(............................................................)</t>
  </si>
  <si>
    <t>ลงชื่อ.................................................</t>
  </si>
  <si>
    <t>ลงชื่อ.................................................................</t>
  </si>
  <si>
    <t>อ้างอิงใบกำกับภาษีเดิมเลขที่:</t>
  </si>
  <si>
    <t xml:space="preserve">สาเหตุ  </t>
  </si>
  <si>
    <t>ลดหนี้เนื่องจากส่งคืนสินค้า</t>
  </si>
  <si>
    <t>DN1912/001</t>
  </si>
  <si>
    <t>สาเหตุ</t>
  </si>
  <si>
    <t>ราคาสินค้าสูงกว่าที่ตกลงซื้อขายกัน</t>
  </si>
  <si>
    <t>มูลค่าใบกำกับภาษีเดิม</t>
  </si>
  <si>
    <t>มูลค่าที่ถูกต้อง</t>
  </si>
  <si>
    <t>ผลต่าง</t>
  </si>
  <si>
    <t>จำนวนเงินหลังหักส่วนลด</t>
  </si>
  <si>
    <t>ภาษีมูลค่าเพิ่ม  7%</t>
  </si>
  <si>
    <t>จำนวนเงินทั้งสิ้น</t>
  </si>
  <si>
    <t>ผู้อนุมัติ</t>
  </si>
  <si>
    <t>ภาษีมูลค่าเพิ่ม 7%</t>
  </si>
  <si>
    <t>RE</t>
  </si>
  <si>
    <t>รายได้ค่านายหน้า เดือน................... 2562</t>
  </si>
  <si>
    <t>ผู้รับเงิน/ผู้มีอำนาจลงนาม</t>
  </si>
  <si>
    <r>
      <rPr>
        <b/>
        <u/>
        <sz val="14"/>
        <color theme="1"/>
        <rFont val="Angsana New"/>
        <family val="1"/>
      </rPr>
      <t>หัก</t>
    </r>
    <r>
      <rPr>
        <b/>
        <sz val="14"/>
        <color theme="1"/>
        <rFont val="Angsana New"/>
        <family val="1"/>
      </rPr>
      <t xml:space="preserve"> ภาษี ณ ที่จ่าย 5%</t>
    </r>
  </si>
  <si>
    <t>เงินสด</t>
  </si>
  <si>
    <t>โอนเงินธ.ไทยพาณิชย์ วันที่......................</t>
  </si>
  <si>
    <t>เช็คเลขที่ ........................วันที่......................</t>
  </si>
  <si>
    <t>อ้างอิงใบกำกับภาษีเลขที่ :</t>
  </si>
  <si>
    <t>ลำดับ</t>
  </si>
  <si>
    <t>เลขที่เอกสาร</t>
  </si>
  <si>
    <t>(ใบกำกับภาษีIV)</t>
  </si>
  <si>
    <t>ตามใบกำกับภาษี</t>
  </si>
  <si>
    <t>ที่วางบิล</t>
  </si>
  <si>
    <t>หมายเหตุ</t>
  </si>
  <si>
    <t>วันครบ</t>
  </si>
  <si>
    <t>กำหนด</t>
  </si>
  <si>
    <t>วันที่เอกสาร</t>
  </si>
  <si>
    <t>ลงชื่อ..............................................................</t>
  </si>
  <si>
    <t>ผู้วางบิล</t>
  </si>
  <si>
    <t>วันที่....................................................................</t>
  </si>
  <si>
    <t xml:space="preserve">                       ผู้รับวางบิล</t>
  </si>
  <si>
    <t>IV2019-11-016</t>
  </si>
  <si>
    <t>รวมทั้งสิ้น</t>
  </si>
  <si>
    <t xml:space="preserve"> </t>
  </si>
  <si>
    <t>สถานที่ส่งสินค้า :</t>
  </si>
  <si>
    <t>เครดิต 30 วัน</t>
  </si>
  <si>
    <r>
      <rPr>
        <b/>
        <u/>
        <sz val="16"/>
        <color theme="1"/>
        <rFont val="Angsana New"/>
        <family val="1"/>
      </rPr>
      <t>หัก</t>
    </r>
    <r>
      <rPr>
        <b/>
        <sz val="16"/>
        <color theme="1"/>
        <rFont val="Angsana New"/>
        <family val="1"/>
      </rPr>
      <t xml:space="preserve"> ส่วนลด</t>
    </r>
  </si>
  <si>
    <t>TEL. 061-6956633 , 062-7969847</t>
  </si>
  <si>
    <t>(สันติ  เหล่าสุโพธิ์)</t>
  </si>
  <si>
    <t>0105546133987</t>
  </si>
  <si>
    <t>บริษัท เจียงออโตโมทีฟอุดร จำกัด สาขาหนองสำโรง (0000)</t>
  </si>
  <si>
    <t>555 หมู่ 7 บ้านโนนพิบูลย์ ต.หมากแข้ง อ.เมืองอุดรธานี จ.อุดรธานี</t>
  </si>
  <si>
    <t>ผลิตภัณฑ์ทำความสะอาดคอนเดนเซอร์</t>
  </si>
  <si>
    <t>สเปรย์เคลือบห้องเครื่องและกันหนู</t>
  </si>
  <si>
    <t>BN2026-01-004</t>
  </si>
  <si>
    <t>15/01/2026</t>
  </si>
  <si>
    <t>โอนเงินธ.ไทยพาณิชย์ วันที่ 15/01/2026</t>
  </si>
  <si>
    <t>IV2026-04-098</t>
  </si>
  <si>
    <t>04/04/2026</t>
  </si>
  <si>
    <t>04/05/2026</t>
  </si>
  <si>
    <t>02/05/2026</t>
  </si>
  <si>
    <t xml:space="preserve">ECO Cool Air 			</t>
  </si>
  <si>
    <t>IV2026-05-127</t>
  </si>
  <si>
    <t>09/05/2026</t>
  </si>
  <si>
    <t>09/06/2026</t>
  </si>
  <si>
    <t>02PO26050011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</si>
</sst>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b/>
      <u/>
      <sz val="14"/>
      <color theme="1"/>
      <name val="Angsana New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3"/>
      <color theme="1"/>
      <name val="Angsana New"/>
      <family val="1"/>
    </font>
    <font>
      <b/>
      <sz val="12"/>
      <color theme="1"/>
      <name val="Angsana New"/>
      <family val="1"/>
    </font>
    <font>
      <sz val="16"/>
      <color theme="1"/>
      <name val="Angsana New"/>
      <family val="1"/>
    </font>
    <font>
      <i/>
      <sz val="14"/>
      <color theme="1"/>
      <name val="Angsana New"/>
      <family val="1"/>
    </font>
    <font>
      <b/>
      <u/>
      <sz val="16"/>
      <color theme="1"/>
      <name val="Angsana New"/>
      <family val="1"/>
    </font>
    <font>
      <sz val="16"/>
      <name val="Angsana New"/>
      <family val="1"/>
    </font>
    <font>
      <b/>
      <sz val="15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5" xfId="0" applyFont="1" applyBorder="1"/>
    <xf numFmtId="0" fontId="2" fillId="0" borderId="6" xfId="0" applyFont="1" applyBorder="1"/>
    <xf numFmtId="0" fontId="3" fillId="0" borderId="6" xfId="0" applyFont="1" applyBorder="1"/>
    <xf numFmtId="0" fontId="2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8" xfId="0" applyFont="1" applyBorder="1"/>
    <xf numFmtId="0" fontId="3" fillId="0" borderId="10" xfId="0" applyFont="1" applyBorder="1"/>
    <xf numFmtId="0" fontId="2" fillId="0" borderId="5" xfId="0" applyFont="1" applyBorder="1"/>
    <xf numFmtId="0" fontId="3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3" fillId="0" borderId="12" xfId="0" applyFont="1" applyBorder="1"/>
    <xf numFmtId="0" fontId="8" fillId="0" borderId="0" xfId="0" applyFont="1"/>
    <xf numFmtId="0" fontId="8" fillId="0" borderId="11" xfId="0" applyFont="1" applyBorder="1"/>
    <xf numFmtId="0" fontId="2" fillId="0" borderId="4" xfId="0" applyFont="1" applyBorder="1"/>
    <xf numFmtId="0" fontId="5" fillId="0" borderId="0" xfId="0" applyFont="1"/>
    <xf numFmtId="0" fontId="6" fillId="0" borderId="0" xfId="0" applyFont="1"/>
    <xf numFmtId="15" fontId="2" fillId="0" borderId="3" xfId="0" applyNumberFormat="1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164" fontId="9" fillId="0" borderId="13" xfId="1" applyFont="1" applyBorder="1"/>
    <xf numFmtId="0" fontId="9" fillId="0" borderId="0" xfId="0" applyFont="1"/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4" fontId="9" fillId="0" borderId="15" xfId="1" applyFont="1" applyBorder="1"/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164" fontId="9" fillId="0" borderId="14" xfId="1" applyFont="1" applyBorder="1"/>
    <xf numFmtId="164" fontId="9" fillId="0" borderId="7" xfId="1" applyFont="1" applyBorder="1"/>
    <xf numFmtId="164" fontId="9" fillId="0" borderId="5" xfId="1" applyFont="1" applyBorder="1"/>
    <xf numFmtId="164" fontId="9" fillId="0" borderId="9" xfId="1" applyFont="1" applyBorder="1"/>
    <xf numFmtId="164" fontId="9" fillId="0" borderId="8" xfId="1" applyFont="1" applyBorder="1"/>
    <xf numFmtId="164" fontId="9" fillId="0" borderId="12" xfId="1" applyFont="1" applyBorder="1"/>
    <xf numFmtId="164" fontId="9" fillId="0" borderId="10" xfId="1" applyFont="1" applyBorder="1"/>
    <xf numFmtId="164" fontId="9" fillId="0" borderId="1" xfId="1" applyFont="1" applyBorder="1"/>
    <xf numFmtId="0" fontId="2" fillId="0" borderId="11" xfId="0" applyFont="1" applyBorder="1"/>
    <xf numFmtId="0" fontId="9" fillId="0" borderId="0" xfId="0" applyFont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6" xfId="0" applyFont="1" applyBorder="1"/>
    <xf numFmtId="0" fontId="9" fillId="0" borderId="9" xfId="0" applyFont="1" applyBorder="1"/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" fillId="0" borderId="12" xfId="0" applyFont="1" applyBorder="1"/>
    <xf numFmtId="0" fontId="8" fillId="0" borderId="6" xfId="0" applyFont="1" applyBorder="1"/>
    <xf numFmtId="0" fontId="3" fillId="0" borderId="7" xfId="0" applyFont="1" applyBorder="1"/>
    <xf numFmtId="0" fontId="3" fillId="0" borderId="2" xfId="0" applyFont="1" applyBorder="1" applyAlignment="1">
      <alignment horizontal="left"/>
    </xf>
    <xf numFmtId="164" fontId="9" fillId="0" borderId="3" xfId="1" applyFont="1" applyBorder="1"/>
    <xf numFmtId="0" fontId="3" fillId="0" borderId="11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10" xfId="0" applyFont="1" applyBorder="1"/>
    <xf numFmtId="0" fontId="3" fillId="0" borderId="2" xfId="0" applyFont="1" applyBorder="1"/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/>
    <xf numFmtId="0" fontId="2" fillId="0" borderId="3" xfId="0" applyFont="1" applyBorder="1"/>
    <xf numFmtId="14" fontId="6" fillId="0" borderId="3" xfId="0" applyNumberFormat="1" applyFont="1" applyBorder="1" applyAlignment="1">
      <alignment horizontal="left"/>
    </xf>
    <xf numFmtId="0" fontId="6" fillId="0" borderId="4" xfId="0" applyFont="1" applyBorder="1"/>
    <xf numFmtId="0" fontId="6" fillId="0" borderId="9" xfId="0" applyFont="1" applyBorder="1"/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center"/>
    </xf>
    <xf numFmtId="164" fontId="6" fillId="0" borderId="13" xfId="1" applyFont="1" applyBorder="1"/>
    <xf numFmtId="164" fontId="6" fillId="0" borderId="1" xfId="1" applyFont="1" applyBorder="1"/>
    <xf numFmtId="0" fontId="6" fillId="0" borderId="3" xfId="0" applyFont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6" fillId="0" borderId="15" xfId="1" applyFont="1" applyBorder="1"/>
    <xf numFmtId="15" fontId="9" fillId="0" borderId="0" xfId="0" applyNumberFormat="1" applyFont="1"/>
    <xf numFmtId="0" fontId="12" fillId="0" borderId="8" xfId="0" applyFont="1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164" fontId="12" fillId="0" borderId="15" xfId="1" applyFont="1" applyBorder="1"/>
    <xf numFmtId="14" fontId="6" fillId="0" borderId="3" xfId="0" quotePrefix="1" applyNumberFormat="1" applyFont="1" applyBorder="1" applyAlignment="1">
      <alignment horizontal="left"/>
    </xf>
    <xf numFmtId="0" fontId="6" fillId="0" borderId="15" xfId="0" applyFont="1" applyBorder="1" applyAlignment="1">
      <alignment horizontal="center" vertical="center"/>
    </xf>
    <xf numFmtId="0" fontId="13" fillId="0" borderId="0" xfId="0" applyFont="1"/>
    <xf numFmtId="0" fontId="13" fillId="0" borderId="9" xfId="0" applyFont="1" applyBorder="1"/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9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9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0" borderId="8" xfId="0" quotePrefix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9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1" fontId="6" fillId="0" borderId="0" xfId="0" quotePrefix="1" applyNumberFormat="1" applyFont="1" applyAlignment="1">
      <alignment horizontal="left"/>
    </xf>
    <xf numFmtId="1" fontId="6" fillId="0" borderId="0" xfId="0" applyNumberFormat="1" applyFont="1" applyAlignment="1">
      <alignment horizontal="left"/>
    </xf>
    <xf numFmtId="1" fontId="6" fillId="0" borderId="9" xfId="0" applyNumberFormat="1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9" fillId="0" borderId="12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6" fillId="0" borderId="0" xfId="0" quotePrefix="1" applyNumberFormat="1" applyFont="1" applyAlignment="1">
      <alignment horizontal="left"/>
    </xf>
    <xf numFmtId="14" fontId="6" fillId="0" borderId="0" xfId="0" applyNumberFormat="1" applyFont="1" applyAlignment="1">
      <alignment horizontal="left"/>
    </xf>
    <xf numFmtId="14" fontId="6" fillId="0" borderId="9" xfId="0" applyNumberFormat="1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3" fillId="0" borderId="8" xfId="0" quotePrefix="1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15" fontId="9" fillId="0" borderId="0" xfId="0" applyNumberFormat="1" applyFont="1" applyAlignment="1">
      <alignment horizontal="left"/>
    </xf>
    <xf numFmtId="15" fontId="9" fillId="0" borderId="9" xfId="0" applyNumberFormat="1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9" fillId="0" borderId="11" xfId="0" applyFont="1" applyBorder="1" applyAlignment="1">
      <alignment horizont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9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" fontId="2" fillId="0" borderId="0" xfId="0" quotePrefix="1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2" fillId="0" borderId="9" xfId="0" applyNumberFormat="1" applyFont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15" fontId="2" fillId="0" borderId="0" xfId="0" applyNumberFormat="1" applyFont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9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186266</xdr:colOff>
      <xdr:row>0</xdr:row>
      <xdr:rowOff>104775</xdr:rowOff>
    </xdr:from>
    <xdr:to>
      <xdr:col>10</xdr:col>
      <xdr:colOff>971548</xdr:colOff>
      <xdr:row>3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030133" y="104775"/>
          <a:ext cx="2855382" cy="106256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ใบกำกับภาษี</a:t>
          </a:r>
          <a:r>
            <a:rPr lang="en-US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/</a:t>
          </a:r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ใบส่งของ/ใบแจ้งหนี้</a:t>
          </a:r>
        </a:p>
        <a:p>
          <a:pPr algn="ctr"/>
          <a:r>
            <a:rPr lang="en-US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Tax</a:t>
          </a:r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 Invoice/Delivery/Order/Debit Note</a:t>
          </a:r>
        </a:p>
        <a:p>
          <a:pPr algn="ctr"/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(Original)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0</xdr:row>
      <xdr:rowOff>104775</xdr:rowOff>
    </xdr:from>
    <xdr:to>
      <xdr:col>10</xdr:col>
      <xdr:colOff>1028698</xdr:colOff>
      <xdr:row>3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657725" y="104775"/>
          <a:ext cx="2762248" cy="1038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ใบกำกับภาษี</a:t>
          </a:r>
          <a:r>
            <a:rPr lang="en-US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/</a:t>
          </a:r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ใบส่งของ/ใบแจ้งหนี้</a:t>
          </a:r>
        </a:p>
        <a:p>
          <a:pPr algn="ctr"/>
          <a:r>
            <a:rPr lang="en-US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Tax</a:t>
          </a:r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 Invoice/Delivery/Order/Debit Note</a:t>
          </a:r>
        </a:p>
        <a:p>
          <a:pPr algn="ctr"/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(Copy)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0</xdr:row>
      <xdr:rowOff>104775</xdr:rowOff>
    </xdr:from>
    <xdr:to>
      <xdr:col>10</xdr:col>
      <xdr:colOff>1028698</xdr:colOff>
      <xdr:row>3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4657725" y="104775"/>
          <a:ext cx="2762248" cy="1038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ใบกำกับภาษี</a:t>
          </a:r>
          <a:r>
            <a:rPr lang="en-US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/</a:t>
          </a:r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ใบส่งของ/ใบแจ้งหนี้</a:t>
          </a:r>
        </a:p>
        <a:p>
          <a:pPr algn="ctr"/>
          <a:r>
            <a:rPr lang="en-US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Tax</a:t>
          </a:r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 Invoice/Delivery/Order/Debit Note</a:t>
          </a:r>
        </a:p>
        <a:p>
          <a:pPr algn="ctr"/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(Copy Account)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0</xdr:row>
      <xdr:rowOff>104775</xdr:rowOff>
    </xdr:from>
    <xdr:to>
      <xdr:col>10</xdr:col>
      <xdr:colOff>1028698</xdr:colOff>
      <xdr:row>3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657725" y="104775"/>
          <a:ext cx="2762248" cy="1038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ใบเสร็จรับเงิน</a:t>
          </a:r>
          <a:r>
            <a:rPr lang="en-US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 Original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  <a:p>
          <a:pPr algn="ctr"/>
          <a:r>
            <a:rPr lang="en-US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RECEIPT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>
    <xdr:from>
      <xdr:col>6</xdr:col>
      <xdr:colOff>276225</xdr:colOff>
      <xdr:row>9</xdr:row>
      <xdr:rowOff>95250</xdr:rowOff>
    </xdr:from>
    <xdr:to>
      <xdr:col>6</xdr:col>
      <xdr:colOff>438151</xdr:colOff>
      <xdr:row>9</xdr:row>
      <xdr:rowOff>238124</xdr:rowOff>
    </xdr:to>
    <xdr:sp macro="" textlink="">
      <xdr:nvSpPr>
        <xdr:cNvPr id="5" name="สี่เหลี่ยมผืนผ้า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 flipV="1">
          <a:off x="4314825" y="2647950"/>
          <a:ext cx="161926" cy="14287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295275</xdr:colOff>
      <xdr:row>10</xdr:row>
      <xdr:rowOff>95250</xdr:rowOff>
    </xdr:from>
    <xdr:to>
      <xdr:col>6</xdr:col>
      <xdr:colOff>457201</xdr:colOff>
      <xdr:row>10</xdr:row>
      <xdr:rowOff>238124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 flipV="1">
          <a:off x="4333875" y="2943225"/>
          <a:ext cx="161926" cy="14287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285750</xdr:colOff>
      <xdr:row>8</xdr:row>
      <xdr:rowOff>76200</xdr:rowOff>
    </xdr:from>
    <xdr:to>
      <xdr:col>6</xdr:col>
      <xdr:colOff>447676</xdr:colOff>
      <xdr:row>8</xdr:row>
      <xdr:rowOff>219074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 flipV="1">
          <a:off x="4324350" y="2333625"/>
          <a:ext cx="161926" cy="14287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280989</xdr:colOff>
      <xdr:row>8</xdr:row>
      <xdr:rowOff>285750</xdr:rowOff>
    </xdr:from>
    <xdr:to>
      <xdr:col>6</xdr:col>
      <xdr:colOff>476251</xdr:colOff>
      <xdr:row>9</xdr:row>
      <xdr:rowOff>257174</xdr:rowOff>
    </xdr:to>
    <xdr:cxnSp macro="">
      <xdr:nvCxnSpPr>
        <xdr:cNvPr id="9" name="ตัวเชื่อมต่อตรง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rot="5400000" flipH="1" flipV="1">
          <a:off x="4388645" y="2607469"/>
          <a:ext cx="266699" cy="195262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0</xdr:row>
      <xdr:rowOff>104775</xdr:rowOff>
    </xdr:from>
    <xdr:to>
      <xdr:col>10</xdr:col>
      <xdr:colOff>1028698</xdr:colOff>
      <xdr:row>3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4657725" y="104775"/>
          <a:ext cx="2552698" cy="1038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ใบเสร็จรับเงิน</a:t>
          </a:r>
          <a:r>
            <a:rPr lang="en-US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 Copy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  <a:p>
          <a:pPr algn="ctr"/>
          <a:r>
            <a:rPr lang="en-US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RECEIPT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>
    <xdr:from>
      <xdr:col>6</xdr:col>
      <xdr:colOff>276225</xdr:colOff>
      <xdr:row>9</xdr:row>
      <xdr:rowOff>95250</xdr:rowOff>
    </xdr:from>
    <xdr:to>
      <xdr:col>6</xdr:col>
      <xdr:colOff>438151</xdr:colOff>
      <xdr:row>9</xdr:row>
      <xdr:rowOff>238124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flipV="1">
          <a:off x="4419600" y="2647950"/>
          <a:ext cx="161926" cy="14287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295275</xdr:colOff>
      <xdr:row>10</xdr:row>
      <xdr:rowOff>95250</xdr:rowOff>
    </xdr:from>
    <xdr:to>
      <xdr:col>6</xdr:col>
      <xdr:colOff>457201</xdr:colOff>
      <xdr:row>10</xdr:row>
      <xdr:rowOff>238124</xdr:rowOff>
    </xdr:to>
    <xdr:sp macro="" textlink="">
      <xdr:nvSpPr>
        <xdr:cNvPr id="4" name="สี่เหลี่ยมผืนผ้า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 flipV="1">
          <a:off x="4438650" y="2943225"/>
          <a:ext cx="161926" cy="14287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285750</xdr:colOff>
      <xdr:row>8</xdr:row>
      <xdr:rowOff>76200</xdr:rowOff>
    </xdr:from>
    <xdr:to>
      <xdr:col>6</xdr:col>
      <xdr:colOff>447676</xdr:colOff>
      <xdr:row>8</xdr:row>
      <xdr:rowOff>219074</xdr:rowOff>
    </xdr:to>
    <xdr:sp macro="" textlink="">
      <xdr:nvSpPr>
        <xdr:cNvPr id="5" name="สี่เหลี่ยมผืนผ้า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 flipV="1">
          <a:off x="4429125" y="2333625"/>
          <a:ext cx="161926" cy="14287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295276</xdr:colOff>
      <xdr:row>8</xdr:row>
      <xdr:rowOff>266700</xdr:rowOff>
    </xdr:from>
    <xdr:to>
      <xdr:col>6</xdr:col>
      <xdr:colOff>490538</xdr:colOff>
      <xdr:row>9</xdr:row>
      <xdr:rowOff>238124</xdr:rowOff>
    </xdr:to>
    <xdr:cxnSp macro="">
      <xdr:nvCxnSpPr>
        <xdr:cNvPr id="6" name="ตัวเชื่อมต่อตร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rot="5400000" flipH="1" flipV="1">
          <a:off x="4402932" y="2588419"/>
          <a:ext cx="266699" cy="195262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0</xdr:row>
      <xdr:rowOff>104775</xdr:rowOff>
    </xdr:from>
    <xdr:to>
      <xdr:col>10</xdr:col>
      <xdr:colOff>1028698</xdr:colOff>
      <xdr:row>3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657725" y="104775"/>
          <a:ext cx="2552698" cy="1038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ใบเสร็จรับเงิน</a:t>
          </a:r>
          <a:r>
            <a:rPr lang="en-US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 Copy Account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  <a:p>
          <a:pPr algn="ctr"/>
          <a:r>
            <a:rPr lang="en-US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RECEIPT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>
    <xdr:from>
      <xdr:col>6</xdr:col>
      <xdr:colOff>276225</xdr:colOff>
      <xdr:row>9</xdr:row>
      <xdr:rowOff>95250</xdr:rowOff>
    </xdr:from>
    <xdr:to>
      <xdr:col>6</xdr:col>
      <xdr:colOff>438151</xdr:colOff>
      <xdr:row>9</xdr:row>
      <xdr:rowOff>238124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flipV="1">
          <a:off x="4419600" y="2647950"/>
          <a:ext cx="161926" cy="14287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295275</xdr:colOff>
      <xdr:row>10</xdr:row>
      <xdr:rowOff>95250</xdr:rowOff>
    </xdr:from>
    <xdr:to>
      <xdr:col>6</xdr:col>
      <xdr:colOff>457201</xdr:colOff>
      <xdr:row>10</xdr:row>
      <xdr:rowOff>238124</xdr:rowOff>
    </xdr:to>
    <xdr:sp macro="" textlink="">
      <xdr:nvSpPr>
        <xdr:cNvPr id="4" name="สี่เหลี่ยมผืนผ้า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flipV="1">
          <a:off x="4438650" y="2943225"/>
          <a:ext cx="161926" cy="14287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285750</xdr:colOff>
      <xdr:row>8</xdr:row>
      <xdr:rowOff>76200</xdr:rowOff>
    </xdr:from>
    <xdr:to>
      <xdr:col>6</xdr:col>
      <xdr:colOff>447676</xdr:colOff>
      <xdr:row>8</xdr:row>
      <xdr:rowOff>219074</xdr:rowOff>
    </xdr:to>
    <xdr:sp macro="" textlink="">
      <xdr:nvSpPr>
        <xdr:cNvPr id="5" name="สี่เหลี่ยมผืนผ้า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 flipV="1">
          <a:off x="4429125" y="2333625"/>
          <a:ext cx="161926" cy="14287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285751</xdr:colOff>
      <xdr:row>8</xdr:row>
      <xdr:rowOff>285750</xdr:rowOff>
    </xdr:from>
    <xdr:to>
      <xdr:col>6</xdr:col>
      <xdr:colOff>481013</xdr:colOff>
      <xdr:row>9</xdr:row>
      <xdr:rowOff>257174</xdr:rowOff>
    </xdr:to>
    <xdr:cxnSp macro="">
      <xdr:nvCxnSpPr>
        <xdr:cNvPr id="6" name="ตัวเชื่อมต่อตรง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 rot="5400000" flipH="1" flipV="1">
          <a:off x="4393407" y="2607469"/>
          <a:ext cx="266699" cy="195262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0</xdr:row>
      <xdr:rowOff>104775</xdr:rowOff>
    </xdr:from>
    <xdr:to>
      <xdr:col>10</xdr:col>
      <xdr:colOff>1028698</xdr:colOff>
      <xdr:row>3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657725" y="104775"/>
          <a:ext cx="2762248" cy="1038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ใบลดหนี้</a:t>
          </a:r>
        </a:p>
        <a:p>
          <a:pPr algn="ctr"/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Credit  Note</a:t>
          </a:r>
        </a:p>
        <a:p>
          <a:pPr algn="ctr"/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(Original)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0</xdr:row>
      <xdr:rowOff>104775</xdr:rowOff>
    </xdr:from>
    <xdr:to>
      <xdr:col>10</xdr:col>
      <xdr:colOff>1028698</xdr:colOff>
      <xdr:row>3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391025" y="104775"/>
          <a:ext cx="2762248" cy="1038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ใบลดหนี้</a:t>
          </a:r>
        </a:p>
        <a:p>
          <a:pPr algn="ctr"/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Credit  Note</a:t>
          </a:r>
        </a:p>
        <a:p>
          <a:pPr algn="ctr"/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(Copy)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0</xdr:row>
      <xdr:rowOff>104775</xdr:rowOff>
    </xdr:from>
    <xdr:to>
      <xdr:col>10</xdr:col>
      <xdr:colOff>1028698</xdr:colOff>
      <xdr:row>3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4391025" y="104775"/>
          <a:ext cx="2762248" cy="1038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ใบลดหนี้</a:t>
          </a:r>
        </a:p>
        <a:p>
          <a:pPr algn="ctr"/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Credit  Note</a:t>
          </a:r>
        </a:p>
        <a:p>
          <a:pPr algn="ctr"/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(Copy Account) 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0</xdr:row>
      <xdr:rowOff>104775</xdr:rowOff>
    </xdr:from>
    <xdr:to>
      <xdr:col>10</xdr:col>
      <xdr:colOff>1028698</xdr:colOff>
      <xdr:row>3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391025" y="104775"/>
          <a:ext cx="2762248" cy="1038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ใบเพิ่มหนี้</a:t>
          </a:r>
        </a:p>
        <a:p>
          <a:pPr algn="ctr"/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Dabit  Note</a:t>
          </a:r>
        </a:p>
        <a:p>
          <a:pPr algn="ctr"/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(Original)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>
    <xdr:from>
      <xdr:col>6</xdr:col>
      <xdr:colOff>514350</xdr:colOff>
      <xdr:row>0</xdr:row>
      <xdr:rowOff>104775</xdr:rowOff>
    </xdr:from>
    <xdr:to>
      <xdr:col>10</xdr:col>
      <xdr:colOff>1028698</xdr:colOff>
      <xdr:row>3</xdr:row>
      <xdr:rowOff>180975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4391025" y="104775"/>
          <a:ext cx="2762248" cy="1038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ใบเพิ่มหนี้</a:t>
          </a:r>
        </a:p>
        <a:p>
          <a:pPr algn="ctr"/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Debit  Note</a:t>
          </a:r>
        </a:p>
        <a:p>
          <a:pPr algn="ctr"/>
          <a:r>
            <a:rPr lang="en-US" sz="1800" b="1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(Original)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0</xdr:row>
      <xdr:rowOff>104775</xdr:rowOff>
    </xdr:from>
    <xdr:to>
      <xdr:col>10</xdr:col>
      <xdr:colOff>1028698</xdr:colOff>
      <xdr:row>3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4657725" y="104775"/>
          <a:ext cx="2552698" cy="1038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ใบเสร็จรับเงิน</a:t>
          </a:r>
        </a:p>
        <a:p>
          <a:pPr algn="ctr"/>
          <a:r>
            <a:rPr lang="en-US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RECEIPT</a:t>
          </a:r>
          <a:endParaRPr lang="th-TH" sz="1800" b="1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>
    <xdr:from>
      <xdr:col>6</xdr:col>
      <xdr:colOff>276225</xdr:colOff>
      <xdr:row>9</xdr:row>
      <xdr:rowOff>95250</xdr:rowOff>
    </xdr:from>
    <xdr:to>
      <xdr:col>6</xdr:col>
      <xdr:colOff>438151</xdr:colOff>
      <xdr:row>9</xdr:row>
      <xdr:rowOff>238124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 flipV="1">
          <a:off x="4314825" y="2647950"/>
          <a:ext cx="161926" cy="14287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295275</xdr:colOff>
      <xdr:row>10</xdr:row>
      <xdr:rowOff>95250</xdr:rowOff>
    </xdr:from>
    <xdr:to>
      <xdr:col>6</xdr:col>
      <xdr:colOff>457201</xdr:colOff>
      <xdr:row>10</xdr:row>
      <xdr:rowOff>238124</xdr:rowOff>
    </xdr:to>
    <xdr:sp macro="" textlink="">
      <xdr:nvSpPr>
        <xdr:cNvPr id="4" name="สี่เหลี่ยมผืนผ้า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 flipV="1">
          <a:off x="4333875" y="2943225"/>
          <a:ext cx="161926" cy="14287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285750</xdr:colOff>
      <xdr:row>8</xdr:row>
      <xdr:rowOff>76200</xdr:rowOff>
    </xdr:from>
    <xdr:to>
      <xdr:col>6</xdr:col>
      <xdr:colOff>447676</xdr:colOff>
      <xdr:row>8</xdr:row>
      <xdr:rowOff>219074</xdr:rowOff>
    </xdr:to>
    <xdr:sp macro="" textlink="">
      <xdr:nvSpPr>
        <xdr:cNvPr id="5" name="สี่เหลี่ยมผืนผ้า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 flipV="1">
          <a:off x="4324350" y="2333625"/>
          <a:ext cx="161926" cy="14287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98425</xdr:colOff>
      <xdr:row>0</xdr:row>
      <xdr:rowOff>200025</xdr:rowOff>
    </xdr:from>
    <xdr:to>
      <xdr:col>8</xdr:col>
      <xdr:colOff>1003298</xdr:colOff>
      <xdr:row>3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629025" y="200025"/>
          <a:ext cx="3394073" cy="9588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ใบวางบิล  (ต้นฉบับลูกค้า) 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98425</xdr:colOff>
      <xdr:row>0</xdr:row>
      <xdr:rowOff>200025</xdr:rowOff>
    </xdr:from>
    <xdr:to>
      <xdr:col>8</xdr:col>
      <xdr:colOff>1003298</xdr:colOff>
      <xdr:row>3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629025" y="200025"/>
          <a:ext cx="3394073" cy="9588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ใบวางบิล  (สำเนา) 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98425</xdr:colOff>
      <xdr:row>0</xdr:row>
      <xdr:rowOff>241299</xdr:rowOff>
    </xdr:from>
    <xdr:to>
      <xdr:col>8</xdr:col>
      <xdr:colOff>990600</xdr:colOff>
      <xdr:row>3</xdr:row>
      <xdr:rowOff>180974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C7926C25-756B-4853-BFF8-1A3858F42525}"/>
            </a:ext>
          </a:extLst>
        </xdr:cNvPr>
        <xdr:cNvSpPr/>
      </xdr:nvSpPr>
      <xdr:spPr>
        <a:xfrm>
          <a:off x="3629025" y="241299"/>
          <a:ext cx="3381375" cy="9175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800" b="1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ใบวางบิล  (สำเนา)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arunya.laosupho/Library/Mobile%20Documents/com~apple~CloudDocs/NoonnoonBossBoss/Noonkitty%20eco/Eco%20Air%20New%20By%20Noon/&#3651;&#3610;&#3585;&#3635;&#3585;&#3633;&#3610;&#3616;&#3634;&#3625;&#3637;-&#3651;&#3610;&#3648;&#3626;&#3619;&#3655;&#3592;&#3619;&#3633;&#3610;&#3648;&#3591;&#3636;&#3609;/2024/&#3651;&#3610;&#3585;&#3635;&#3585;&#3633;&#3610;&#3616;&#3634;&#3625;&#3637;%20IV2024-10-215_Mitsu%20&#3648;&#3592;&#3637;&#3618;&#3591;&#3627;&#3609;&#3629;&#3591;&#3588;&#3634;&#361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กำกับภาษี (Original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zoomScale="125" zoomScaleNormal="98" workbookViewId="0">
      <selection activeCell="A17" sqref="A17:K17"/>
    </sheetView>
  </sheetViews>
  <sheetFormatPr baseColWidth="10" defaultColWidth="9" defaultRowHeight="21" x14ac:dyDescent="0.35"/>
  <cols>
    <col min="1" max="1" width="7.1640625" style="1" customWidth="1"/>
    <col min="2" max="2" width="13.5" style="1" customWidth="1"/>
    <col min="3" max="3" width="17.83203125" style="1" customWidth="1"/>
    <col min="4" max="4" width="0.6640625" style="1" customWidth="1"/>
    <col min="5" max="5" width="7.33203125" style="1" customWidth="1"/>
    <col min="6" max="6" width="7.6640625" style="1" customWidth="1"/>
    <col min="7" max="7" width="9.1640625" style="1" customWidth="1"/>
    <col min="8" max="8" width="1.6640625" style="1" customWidth="1"/>
    <col min="9" max="9" width="9.33203125" style="1" customWidth="1"/>
    <col min="10" max="10" width="9.1640625" style="1" customWidth="1"/>
    <col min="11" max="11" width="14.33203125" style="1" customWidth="1"/>
    <col min="12" max="16384" width="9" style="1"/>
  </cols>
  <sheetData>
    <row r="1" spans="1:11" ht="29" x14ac:dyDescent="0.45">
      <c r="A1" s="25" t="s">
        <v>45</v>
      </c>
    </row>
    <row r="2" spans="1:11" ht="24" x14ac:dyDescent="0.4">
      <c r="A2" s="26" t="s">
        <v>42</v>
      </c>
    </row>
    <row r="3" spans="1:11" ht="24" x14ac:dyDescent="0.4">
      <c r="A3" s="26" t="s">
        <v>46</v>
      </c>
    </row>
    <row r="4" spans="1:11" ht="25" thickBot="1" x14ac:dyDescent="0.45">
      <c r="A4" s="26" t="s">
        <v>98</v>
      </c>
    </row>
    <row r="5" spans="1:11" ht="25" thickBot="1" x14ac:dyDescent="0.45">
      <c r="A5" s="26" t="s">
        <v>47</v>
      </c>
      <c r="I5" s="13" t="s">
        <v>36</v>
      </c>
      <c r="J5" s="144" t="s">
        <v>113</v>
      </c>
      <c r="K5" s="145"/>
    </row>
    <row r="6" spans="1:11" ht="25" thickBot="1" x14ac:dyDescent="0.45">
      <c r="I6" s="13" t="s">
        <v>37</v>
      </c>
      <c r="J6" s="85" t="s">
        <v>114</v>
      </c>
      <c r="K6" s="70"/>
    </row>
    <row r="7" spans="1:11" ht="3.75" customHeight="1" thickBot="1" x14ac:dyDescent="0.4">
      <c r="A7" s="10"/>
      <c r="I7" s="2"/>
      <c r="J7" s="3"/>
      <c r="K7" s="14"/>
    </row>
    <row r="8" spans="1:11" ht="28.5" customHeight="1" x14ac:dyDescent="0.4">
      <c r="A8" s="4" t="s">
        <v>0</v>
      </c>
      <c r="B8" s="93" t="s">
        <v>101</v>
      </c>
      <c r="C8" s="93"/>
      <c r="D8" s="93"/>
      <c r="E8" s="93"/>
      <c r="F8" s="94"/>
      <c r="G8" s="6" t="s">
        <v>39</v>
      </c>
      <c r="H8" s="6"/>
      <c r="I8" s="5"/>
      <c r="J8" s="150"/>
      <c r="K8" s="151"/>
    </row>
    <row r="9" spans="1:11" ht="24" x14ac:dyDescent="0.4">
      <c r="A9" s="8" t="s">
        <v>1</v>
      </c>
      <c r="B9" s="130" t="s">
        <v>100</v>
      </c>
      <c r="C9" s="131"/>
      <c r="D9" s="131"/>
      <c r="E9" s="131"/>
      <c r="F9" s="132"/>
      <c r="G9" s="2" t="s">
        <v>17</v>
      </c>
      <c r="H9" s="2"/>
      <c r="I9" s="95" t="s">
        <v>96</v>
      </c>
      <c r="J9" s="95"/>
      <c r="K9" s="96"/>
    </row>
    <row r="10" spans="1:11" ht="24" x14ac:dyDescent="0.4">
      <c r="A10" s="8" t="s">
        <v>2</v>
      </c>
      <c r="B10" s="133" t="s">
        <v>102</v>
      </c>
      <c r="C10" s="133"/>
      <c r="D10" s="133"/>
      <c r="E10" s="133"/>
      <c r="F10" s="134"/>
      <c r="G10" s="2" t="s">
        <v>18</v>
      </c>
      <c r="H10" s="2"/>
      <c r="I10" s="146" t="s">
        <v>115</v>
      </c>
      <c r="J10" s="147"/>
      <c r="K10" s="148"/>
    </row>
    <row r="11" spans="1:11" ht="24" x14ac:dyDescent="0.4">
      <c r="A11" s="10"/>
      <c r="B11" s="72">
        <v>41000</v>
      </c>
      <c r="C11" s="26"/>
      <c r="D11" s="26"/>
      <c r="E11" s="26"/>
      <c r="F11" s="71"/>
      <c r="G11" s="2" t="s">
        <v>95</v>
      </c>
      <c r="K11" s="9"/>
    </row>
    <row r="12" spans="1:11" ht="22" thickBot="1" x14ac:dyDescent="0.4">
      <c r="A12" s="11" t="s">
        <v>3</v>
      </c>
      <c r="B12" s="98"/>
      <c r="C12" s="98"/>
      <c r="D12" s="98"/>
      <c r="E12" s="98"/>
      <c r="F12" s="99"/>
      <c r="G12" s="149"/>
      <c r="H12" s="98"/>
      <c r="I12" s="98"/>
      <c r="J12" s="98"/>
      <c r="K12" s="99"/>
    </row>
    <row r="13" spans="1:11" ht="4.5" customHeight="1" thickBot="1" x14ac:dyDescent="0.4">
      <c r="A13" s="2"/>
    </row>
    <row r="14" spans="1:11" x14ac:dyDescent="0.35">
      <c r="A14" s="100" t="s">
        <v>4</v>
      </c>
      <c r="B14" s="18" t="s">
        <v>5</v>
      </c>
      <c r="C14" s="102" t="s">
        <v>6</v>
      </c>
      <c r="D14" s="102"/>
      <c r="E14" s="102"/>
      <c r="F14" s="102"/>
      <c r="G14" s="103" t="s">
        <v>7</v>
      </c>
      <c r="H14" s="104"/>
      <c r="I14" s="20" t="s">
        <v>8</v>
      </c>
      <c r="J14" s="18" t="s">
        <v>41</v>
      </c>
      <c r="K14" s="18" t="s">
        <v>9</v>
      </c>
    </row>
    <row r="15" spans="1:11" ht="22" thickBot="1" x14ac:dyDescent="0.4">
      <c r="A15" s="101"/>
      <c r="B15" s="19" t="s">
        <v>10</v>
      </c>
      <c r="C15" s="105" t="s">
        <v>11</v>
      </c>
      <c r="D15" s="105"/>
      <c r="E15" s="105"/>
      <c r="F15" s="105"/>
      <c r="G15" s="106" t="s">
        <v>12</v>
      </c>
      <c r="H15" s="107"/>
      <c r="I15" s="19" t="s">
        <v>13</v>
      </c>
      <c r="J15" s="19" t="s">
        <v>15</v>
      </c>
      <c r="K15" s="19" t="s">
        <v>14</v>
      </c>
    </row>
    <row r="16" spans="1:11" s="31" customFormat="1" ht="24" x14ac:dyDescent="0.4">
      <c r="A16" s="73">
        <v>1</v>
      </c>
      <c r="B16" s="86">
        <v>164</v>
      </c>
      <c r="C16" s="110" t="s">
        <v>103</v>
      </c>
      <c r="D16" s="91"/>
      <c r="E16" s="91"/>
      <c r="F16" s="92"/>
      <c r="G16" s="152">
        <v>24</v>
      </c>
      <c r="H16" s="153"/>
      <c r="I16" s="74">
        <v>400</v>
      </c>
      <c r="J16" s="74"/>
      <c r="K16" s="74">
        <f>G16*I16</f>
        <v>9600</v>
      </c>
    </row>
    <row r="17" spans="1:11" s="31" customFormat="1" ht="24" x14ac:dyDescent="0.4">
      <c r="A17" s="78">
        <v>2</v>
      </c>
      <c r="B17" s="79">
        <v>635</v>
      </c>
      <c r="C17" s="110" t="s">
        <v>112</v>
      </c>
      <c r="D17" s="91"/>
      <c r="E17" s="91"/>
      <c r="F17" s="92"/>
      <c r="G17" s="135">
        <v>24</v>
      </c>
      <c r="H17" s="136"/>
      <c r="I17" s="80">
        <v>1090</v>
      </c>
      <c r="J17" s="34"/>
      <c r="K17" s="80">
        <v>26160</v>
      </c>
    </row>
    <row r="18" spans="1:11" s="31" customFormat="1" ht="24" x14ac:dyDescent="0.4">
      <c r="A18" s="78"/>
      <c r="B18" s="79"/>
      <c r="C18" s="110"/>
      <c r="D18" s="91"/>
      <c r="E18" s="91"/>
      <c r="F18" s="92"/>
      <c r="G18" s="135"/>
      <c r="H18" s="136"/>
      <c r="I18" s="80"/>
      <c r="J18" s="34"/>
      <c r="K18" s="80"/>
    </row>
    <row r="19" spans="1:11" s="31" customFormat="1" ht="24" x14ac:dyDescent="0.4">
      <c r="A19" s="78"/>
      <c r="B19" s="33"/>
      <c r="C19" s="110"/>
      <c r="D19" s="91"/>
      <c r="E19" s="91"/>
      <c r="F19" s="92"/>
      <c r="G19" s="135"/>
      <c r="H19" s="136"/>
      <c r="I19" s="34"/>
      <c r="J19" s="34"/>
      <c r="K19" s="34"/>
    </row>
    <row r="20" spans="1:11" s="31" customFormat="1" ht="24" x14ac:dyDescent="0.4">
      <c r="A20" s="78"/>
      <c r="B20" s="33"/>
      <c r="C20" s="110"/>
      <c r="D20" s="91"/>
      <c r="E20" s="91"/>
      <c r="F20" s="92"/>
      <c r="G20" s="135"/>
      <c r="H20" s="136"/>
      <c r="I20" s="34"/>
      <c r="J20" s="34"/>
      <c r="K20" s="34"/>
    </row>
    <row r="21" spans="1:11" s="31" customFormat="1" ht="24" x14ac:dyDescent="0.4">
      <c r="A21" s="32"/>
      <c r="B21" s="33"/>
      <c r="C21" s="110"/>
      <c r="D21" s="91"/>
      <c r="E21" s="91"/>
      <c r="F21" s="92"/>
      <c r="G21" s="111"/>
      <c r="H21" s="112"/>
      <c r="I21" s="34"/>
      <c r="J21" s="34"/>
      <c r="K21" s="34"/>
    </row>
    <row r="22" spans="1:11" s="31" customFormat="1" ht="24" x14ac:dyDescent="0.4">
      <c r="A22" s="32"/>
      <c r="B22" s="33"/>
      <c r="C22" s="110"/>
      <c r="D22" s="91"/>
      <c r="E22" s="91"/>
      <c r="F22" s="92"/>
      <c r="G22" s="111"/>
      <c r="H22" s="112"/>
      <c r="I22" s="34"/>
      <c r="J22" s="34"/>
      <c r="K22" s="34"/>
    </row>
    <row r="23" spans="1:11" s="31" customFormat="1" ht="24" x14ac:dyDescent="0.4">
      <c r="A23" s="32"/>
      <c r="B23" s="33"/>
      <c r="C23" s="110"/>
      <c r="D23" s="91"/>
      <c r="E23" s="91"/>
      <c r="F23" s="92"/>
      <c r="G23" s="111"/>
      <c r="H23" s="112"/>
      <c r="I23" s="34"/>
      <c r="J23" s="34"/>
      <c r="K23" s="34"/>
    </row>
    <row r="24" spans="1:11" s="31" customFormat="1" ht="24" x14ac:dyDescent="0.4">
      <c r="A24" s="32"/>
      <c r="B24" s="33"/>
      <c r="C24" s="110"/>
      <c r="D24" s="91"/>
      <c r="E24" s="91"/>
      <c r="F24" s="92"/>
      <c r="G24" s="111"/>
      <c r="H24" s="112"/>
      <c r="I24" s="34"/>
      <c r="J24" s="34"/>
      <c r="K24" s="34"/>
    </row>
    <row r="25" spans="1:11" s="31" customFormat="1" ht="24" x14ac:dyDescent="0.4">
      <c r="A25" s="32"/>
      <c r="B25" s="33"/>
      <c r="C25" s="110"/>
      <c r="D25" s="91"/>
      <c r="E25" s="91"/>
      <c r="F25" s="92"/>
      <c r="G25" s="111"/>
      <c r="H25" s="112"/>
      <c r="I25" s="34"/>
      <c r="J25" s="34"/>
      <c r="K25" s="34"/>
    </row>
    <row r="26" spans="1:11" s="31" customFormat="1" ht="24" x14ac:dyDescent="0.4">
      <c r="A26" s="32"/>
      <c r="B26" s="33"/>
      <c r="C26" s="110"/>
      <c r="D26" s="91"/>
      <c r="E26" s="91"/>
      <c r="F26" s="92"/>
      <c r="G26" s="111"/>
      <c r="H26" s="112"/>
      <c r="I26" s="34"/>
      <c r="J26" s="34"/>
      <c r="K26" s="34"/>
    </row>
    <row r="27" spans="1:11" s="31" customFormat="1" ht="25" thickBot="1" x14ac:dyDescent="0.45">
      <c r="A27" s="35"/>
      <c r="B27" s="36"/>
      <c r="C27" s="113"/>
      <c r="D27" s="114"/>
      <c r="E27" s="114"/>
      <c r="F27" s="137"/>
      <c r="G27" s="115"/>
      <c r="H27" s="116"/>
      <c r="I27" s="37"/>
      <c r="J27" s="37"/>
      <c r="K27" s="37"/>
    </row>
    <row r="28" spans="1:11" ht="25" thickBot="1" x14ac:dyDescent="0.45">
      <c r="A28" s="4" t="s">
        <v>29</v>
      </c>
      <c r="C28" s="138"/>
      <c r="D28" s="138"/>
      <c r="E28" s="138"/>
      <c r="F28" s="138"/>
      <c r="G28" s="138"/>
      <c r="H28" s="139"/>
      <c r="I28" s="140" t="s">
        <v>19</v>
      </c>
      <c r="J28" s="141"/>
      <c r="K28" s="75">
        <f>SUM(K16:K27)</f>
        <v>35760</v>
      </c>
    </row>
    <row r="29" spans="1:11" ht="25" thickBot="1" x14ac:dyDescent="0.45">
      <c r="A29" s="154" t="s">
        <v>116</v>
      </c>
      <c r="B29" s="128"/>
      <c r="C29" s="128"/>
      <c r="D29" s="128"/>
      <c r="E29" s="128"/>
      <c r="F29" s="128"/>
      <c r="G29" s="128"/>
      <c r="H29" s="129"/>
      <c r="I29" s="140" t="s">
        <v>97</v>
      </c>
      <c r="J29" s="141"/>
      <c r="K29" s="75">
        <f>(G16+G17)*J16</f>
        <v>0</v>
      </c>
    </row>
    <row r="30" spans="1:11" ht="25" thickBot="1" x14ac:dyDescent="0.45">
      <c r="A30" s="117"/>
      <c r="B30" s="118"/>
      <c r="C30" s="118"/>
      <c r="D30" s="118"/>
      <c r="E30" s="118"/>
      <c r="F30" s="118"/>
      <c r="G30" s="118"/>
      <c r="H30" s="119"/>
      <c r="I30" s="140" t="s">
        <v>20</v>
      </c>
      <c r="J30" s="141"/>
      <c r="K30" s="75">
        <f>K28-K29</f>
        <v>35760</v>
      </c>
    </row>
    <row r="31" spans="1:11" ht="25" thickBot="1" x14ac:dyDescent="0.45">
      <c r="A31" s="143"/>
      <c r="B31" s="123"/>
      <c r="C31" s="123"/>
      <c r="D31" s="123"/>
      <c r="E31" s="123"/>
      <c r="F31" s="123"/>
      <c r="G31" s="123"/>
      <c r="H31" s="124"/>
      <c r="I31" s="140" t="s">
        <v>70</v>
      </c>
      <c r="J31" s="141"/>
      <c r="K31" s="75">
        <f>K30*7/100</f>
        <v>2503.1999999999998</v>
      </c>
    </row>
    <row r="32" spans="1:11" ht="21.75" customHeight="1" thickBot="1" x14ac:dyDescent="0.45">
      <c r="A32" s="125" t="str">
        <f>"("&amp;BAHTTEXT(K32)&amp;")"</f>
        <v>(สามหมื่นแปดพันสองร้อยหกสิบสามบาทยี่สิบสตางค์)</v>
      </c>
      <c r="B32" s="126"/>
      <c r="C32" s="126"/>
      <c r="D32" s="126"/>
      <c r="E32" s="126"/>
      <c r="F32" s="126"/>
      <c r="G32" s="126"/>
      <c r="H32" s="127"/>
      <c r="I32" s="140" t="s">
        <v>21</v>
      </c>
      <c r="J32" s="141"/>
      <c r="K32" s="75">
        <f>K30+K31</f>
        <v>38263.199999999997</v>
      </c>
    </row>
    <row r="33" spans="1:11" ht="21.75" customHeight="1" thickBot="1" x14ac:dyDescent="0.4">
      <c r="A33" s="8" t="s">
        <v>30</v>
      </c>
      <c r="K33" s="9"/>
    </row>
    <row r="34" spans="1:11" x14ac:dyDescent="0.35">
      <c r="A34" s="12"/>
      <c r="B34" s="5"/>
      <c r="C34" s="7"/>
      <c r="E34" s="12"/>
      <c r="F34" s="5"/>
      <c r="G34" s="5"/>
      <c r="H34" s="5"/>
      <c r="I34" s="7"/>
      <c r="J34" s="22" t="s">
        <v>31</v>
      </c>
      <c r="K34" s="15"/>
    </row>
    <row r="35" spans="1:11" x14ac:dyDescent="0.35">
      <c r="A35" s="10"/>
      <c r="C35" s="9"/>
      <c r="E35" s="10"/>
      <c r="I35" s="9"/>
      <c r="J35" s="22" t="s">
        <v>28</v>
      </c>
      <c r="K35" s="15"/>
    </row>
    <row r="36" spans="1:11" x14ac:dyDescent="0.35">
      <c r="A36" s="8" t="s">
        <v>24</v>
      </c>
      <c r="B36" s="2" t="s">
        <v>26</v>
      </c>
      <c r="C36" s="9"/>
      <c r="E36" s="142" t="s">
        <v>27</v>
      </c>
      <c r="F36" s="128"/>
      <c r="G36" s="128"/>
      <c r="H36" s="128"/>
      <c r="I36" s="129"/>
      <c r="J36" s="22" t="s">
        <v>32</v>
      </c>
      <c r="K36" s="15"/>
    </row>
    <row r="37" spans="1:11" ht="12" customHeight="1" x14ac:dyDescent="0.35">
      <c r="A37" s="8"/>
      <c r="B37" s="2"/>
      <c r="C37" s="15"/>
      <c r="D37" s="2"/>
      <c r="E37" s="10"/>
      <c r="I37" s="9"/>
      <c r="J37" s="22"/>
      <c r="K37" s="15"/>
    </row>
    <row r="38" spans="1:11" x14ac:dyDescent="0.35">
      <c r="A38" s="8"/>
      <c r="B38" s="2" t="s">
        <v>25</v>
      </c>
      <c r="C38" s="15"/>
      <c r="D38" s="2"/>
      <c r="E38" s="142" t="s">
        <v>44</v>
      </c>
      <c r="F38" s="128"/>
      <c r="G38" s="128"/>
      <c r="H38" s="128"/>
      <c r="I38" s="129"/>
      <c r="J38" s="22" t="s">
        <v>33</v>
      </c>
      <c r="K38" s="15"/>
    </row>
    <row r="39" spans="1:11" x14ac:dyDescent="0.35">
      <c r="A39" s="8"/>
      <c r="B39" s="120" t="s">
        <v>38</v>
      </c>
      <c r="C39" s="121"/>
      <c r="D39" s="16"/>
      <c r="E39" s="142" t="s">
        <v>23</v>
      </c>
      <c r="F39" s="128"/>
      <c r="G39" s="128"/>
      <c r="H39" s="128"/>
      <c r="I39" s="129"/>
      <c r="J39" s="22" t="s">
        <v>34</v>
      </c>
      <c r="K39" s="15"/>
    </row>
    <row r="40" spans="1:11" ht="22" thickBot="1" x14ac:dyDescent="0.4">
      <c r="A40" s="11" t="s">
        <v>16</v>
      </c>
      <c r="B40" s="122"/>
      <c r="C40" s="107"/>
      <c r="D40" s="17"/>
      <c r="E40" s="11" t="s">
        <v>16</v>
      </c>
      <c r="F40" s="123"/>
      <c r="G40" s="123"/>
      <c r="H40" s="123"/>
      <c r="I40" s="124"/>
      <c r="J40" s="23" t="s">
        <v>35</v>
      </c>
      <c r="K40" s="21"/>
    </row>
  </sheetData>
  <mergeCells count="54">
    <mergeCell ref="J5:K5"/>
    <mergeCell ref="I10:K10"/>
    <mergeCell ref="I28:J28"/>
    <mergeCell ref="I29:J29"/>
    <mergeCell ref="I30:J30"/>
    <mergeCell ref="G12:K12"/>
    <mergeCell ref="J8:K8"/>
    <mergeCell ref="G14:H14"/>
    <mergeCell ref="G15:H15"/>
    <mergeCell ref="G16:H16"/>
    <mergeCell ref="A30:H30"/>
    <mergeCell ref="C16:F16"/>
    <mergeCell ref="C17:F17"/>
    <mergeCell ref="C19:F19"/>
    <mergeCell ref="C22:F22"/>
    <mergeCell ref="A29:H29"/>
    <mergeCell ref="I31:J31"/>
    <mergeCell ref="I32:J32"/>
    <mergeCell ref="B40:C40"/>
    <mergeCell ref="B39:C39"/>
    <mergeCell ref="E38:I38"/>
    <mergeCell ref="E39:I39"/>
    <mergeCell ref="E36:I36"/>
    <mergeCell ref="A31:H31"/>
    <mergeCell ref="A32:H32"/>
    <mergeCell ref="F40:I40"/>
    <mergeCell ref="C25:F25"/>
    <mergeCell ref="C26:F26"/>
    <mergeCell ref="C27:F27"/>
    <mergeCell ref="G22:H22"/>
    <mergeCell ref="C28:H28"/>
    <mergeCell ref="G27:H27"/>
    <mergeCell ref="G26:H26"/>
    <mergeCell ref="G25:H25"/>
    <mergeCell ref="G24:H24"/>
    <mergeCell ref="C23:F23"/>
    <mergeCell ref="C24:F24"/>
    <mergeCell ref="I9:K9"/>
    <mergeCell ref="G17:H17"/>
    <mergeCell ref="G19:H19"/>
    <mergeCell ref="G18:H18"/>
    <mergeCell ref="G20:H20"/>
    <mergeCell ref="A14:A15"/>
    <mergeCell ref="C14:F14"/>
    <mergeCell ref="C15:F15"/>
    <mergeCell ref="G23:H23"/>
    <mergeCell ref="B8:F8"/>
    <mergeCell ref="B9:F9"/>
    <mergeCell ref="B10:F10"/>
    <mergeCell ref="B12:F12"/>
    <mergeCell ref="C18:F18"/>
    <mergeCell ref="G21:H21"/>
    <mergeCell ref="C20:F20"/>
    <mergeCell ref="C21:F21"/>
  </mergeCells>
  <pageMargins left="0.51181102362204722" right="0.39370078740157483" top="0.31496062992125984" bottom="0.31496062992125984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zoomScale="106" zoomScaleNormal="106" workbookViewId="0">
      <selection activeCell="A17" sqref="A17:K17"/>
    </sheetView>
  </sheetViews>
  <sheetFormatPr baseColWidth="10" defaultColWidth="9" defaultRowHeight="21" x14ac:dyDescent="0.35"/>
  <cols>
    <col min="1" max="1" width="7.1640625" style="1" customWidth="1"/>
    <col min="2" max="2" width="13.5" style="1" customWidth="1"/>
    <col min="3" max="3" width="17.83203125" style="1" customWidth="1"/>
    <col min="4" max="4" width="0.6640625" style="1" customWidth="1"/>
    <col min="5" max="5" width="7.33203125" style="1" customWidth="1"/>
    <col min="6" max="6" width="7.6640625" style="1" customWidth="1"/>
    <col min="7" max="7" width="9.1640625" style="1" customWidth="1"/>
    <col min="8" max="8" width="1.6640625" style="1" customWidth="1"/>
    <col min="9" max="9" width="9.33203125" style="1" customWidth="1"/>
    <col min="10" max="10" width="9.1640625" style="1" customWidth="1"/>
    <col min="11" max="11" width="13.6640625" style="1" customWidth="1"/>
    <col min="12" max="16384" width="9" style="1"/>
  </cols>
  <sheetData>
    <row r="1" spans="1:11" ht="29" x14ac:dyDescent="0.45">
      <c r="A1" s="25" t="str">
        <f>'ใบกำกับภาษี (Original)'!A1</f>
        <v>บริษัท เพาเวอร์ คลีน พลัส จำกัด สำนักงานใหญ่</v>
      </c>
    </row>
    <row r="2" spans="1:11" ht="24" x14ac:dyDescent="0.4">
      <c r="A2" s="26" t="str">
        <f>'ใบกำกับภาษี (Original)'!A2</f>
        <v>POWER CLEAN PLUS Co., LTD.</v>
      </c>
    </row>
    <row r="3" spans="1:11" ht="24" x14ac:dyDescent="0.4">
      <c r="A3" s="26" t="str">
        <f>'ใบกำกับภาษี (Original)'!A3</f>
        <v>เลขที่ 250/65 ม.5 ต.เมืองเก่า อ.เมืองขอนแก่น จ.ขอนแก่น 40000</v>
      </c>
    </row>
    <row r="4" spans="1:11" ht="25" thickBot="1" x14ac:dyDescent="0.45">
      <c r="A4" s="26" t="str">
        <f>'ใบกำกับภาษี (Original)'!A4</f>
        <v>TEL. 061-6956633 , 062-7969847</v>
      </c>
    </row>
    <row r="5" spans="1:11" ht="25" thickBot="1" x14ac:dyDescent="0.45">
      <c r="A5" s="26" t="str">
        <f>'ใบกำกับภาษี (Original)'!A5</f>
        <v>เลขประจำตัวผู้เสียภาษี 0405562003569</v>
      </c>
      <c r="I5" s="13" t="s">
        <v>36</v>
      </c>
      <c r="J5" s="76" t="str">
        <f>'ใบกำกับภาษี (Original)'!J5</f>
        <v>IV2026-05-127</v>
      </c>
      <c r="K5" s="24"/>
    </row>
    <row r="6" spans="1:11" ht="25" thickBot="1" x14ac:dyDescent="0.45">
      <c r="I6" s="13" t="s">
        <v>37</v>
      </c>
      <c r="J6" s="69" t="str">
        <f>'ใบกำกับภาษี (Original)'!J6</f>
        <v>09/05/2026</v>
      </c>
      <c r="K6" s="24"/>
    </row>
    <row r="7" spans="1:11" ht="3.75" customHeight="1" thickBot="1" x14ac:dyDescent="0.4">
      <c r="A7" s="10"/>
      <c r="I7" s="2"/>
      <c r="J7" s="3"/>
      <c r="K7" s="14"/>
    </row>
    <row r="8" spans="1:11" ht="28.5" customHeight="1" x14ac:dyDescent="0.4">
      <c r="A8" s="4" t="s">
        <v>0</v>
      </c>
      <c r="B8" s="93" t="str">
        <f>'ใบกำกับภาษี (Original)'!B8</f>
        <v>บริษัท เจียงออโตโมทีฟอุดร จำกัด สาขาหนองสำโรง (0000)</v>
      </c>
      <c r="C8" s="93"/>
      <c r="D8" s="93"/>
      <c r="E8" s="93"/>
      <c r="F8" s="94"/>
      <c r="G8" s="6" t="s">
        <v>39</v>
      </c>
      <c r="H8" s="6"/>
      <c r="I8" s="48"/>
      <c r="J8" s="89"/>
      <c r="K8" s="90"/>
    </row>
    <row r="9" spans="1:11" ht="24" x14ac:dyDescent="0.4">
      <c r="A9" s="8" t="s">
        <v>1</v>
      </c>
      <c r="B9" s="95" t="str">
        <f>'ใบกำกับภาษี (Original)'!B9</f>
        <v>0105546133987</v>
      </c>
      <c r="C9" s="95"/>
      <c r="D9" s="95"/>
      <c r="E9" s="95"/>
      <c r="F9" s="96"/>
      <c r="G9" s="2" t="s">
        <v>17</v>
      </c>
      <c r="H9" s="2"/>
      <c r="I9" s="95" t="str">
        <f>'ใบกำกับภาษี (Original)'!I9</f>
        <v>เครดิต 30 วัน</v>
      </c>
      <c r="J9" s="95"/>
      <c r="K9" s="96"/>
    </row>
    <row r="10" spans="1:11" ht="24" x14ac:dyDescent="0.4">
      <c r="A10" s="8" t="s">
        <v>2</v>
      </c>
      <c r="B10" s="133" t="str">
        <f>'ใบกำกับภาษี (Original)'!B10</f>
        <v>555 หมู่ 7 บ้านโนนพิบูลย์ ต.หมากแข้ง อ.เมืองอุดรธานี จ.อุดรธานี</v>
      </c>
      <c r="C10" s="133"/>
      <c r="D10" s="133"/>
      <c r="E10" s="133"/>
      <c r="F10" s="134"/>
      <c r="G10" s="2" t="s">
        <v>18</v>
      </c>
      <c r="H10" s="2"/>
      <c r="I10" s="147" t="str">
        <f>'ใบกำกับภาษี (Original)'!I10</f>
        <v>09/06/2026</v>
      </c>
      <c r="J10" s="147"/>
      <c r="K10" s="148"/>
    </row>
    <row r="11" spans="1:11" ht="24" x14ac:dyDescent="0.4">
      <c r="A11" s="10"/>
      <c r="B11" s="72">
        <v>41000</v>
      </c>
      <c r="C11" s="26"/>
      <c r="D11" s="26"/>
      <c r="E11" s="26"/>
      <c r="F11" s="71"/>
      <c r="G11" s="2" t="s">
        <v>95</v>
      </c>
      <c r="I11" s="31"/>
      <c r="J11" s="31"/>
      <c r="K11" s="49"/>
    </row>
    <row r="12" spans="1:11" ht="25" thickBot="1" x14ac:dyDescent="0.45">
      <c r="A12" s="11" t="s">
        <v>3</v>
      </c>
      <c r="B12" s="97"/>
      <c r="C12" s="97"/>
      <c r="D12" s="97"/>
      <c r="E12" s="97"/>
      <c r="F12" s="155"/>
      <c r="G12" s="149"/>
      <c r="H12" s="98"/>
      <c r="I12" s="98"/>
      <c r="J12" s="98"/>
      <c r="K12" s="99"/>
    </row>
    <row r="13" spans="1:11" ht="4.5" customHeight="1" thickBot="1" x14ac:dyDescent="0.4">
      <c r="A13" s="2"/>
    </row>
    <row r="14" spans="1:11" x14ac:dyDescent="0.35">
      <c r="A14" s="100" t="s">
        <v>4</v>
      </c>
      <c r="B14" s="18" t="s">
        <v>5</v>
      </c>
      <c r="C14" s="102" t="s">
        <v>6</v>
      </c>
      <c r="D14" s="102"/>
      <c r="E14" s="102"/>
      <c r="F14" s="102"/>
      <c r="G14" s="103" t="s">
        <v>7</v>
      </c>
      <c r="H14" s="104"/>
      <c r="I14" s="20" t="s">
        <v>8</v>
      </c>
      <c r="J14" s="18" t="s">
        <v>41</v>
      </c>
      <c r="K14" s="18" t="s">
        <v>9</v>
      </c>
    </row>
    <row r="15" spans="1:11" ht="22" thickBot="1" x14ac:dyDescent="0.4">
      <c r="A15" s="101"/>
      <c r="B15" s="19" t="s">
        <v>10</v>
      </c>
      <c r="C15" s="105" t="s">
        <v>11</v>
      </c>
      <c r="D15" s="105"/>
      <c r="E15" s="105"/>
      <c r="F15" s="105"/>
      <c r="G15" s="106" t="s">
        <v>12</v>
      </c>
      <c r="H15" s="107"/>
      <c r="I15" s="19" t="s">
        <v>13</v>
      </c>
      <c r="J15" s="19" t="s">
        <v>15</v>
      </c>
      <c r="K15" s="19" t="s">
        <v>14</v>
      </c>
    </row>
    <row r="16" spans="1:11" s="31" customFormat="1" ht="24" x14ac:dyDescent="0.4">
      <c r="A16" s="73">
        <v>1</v>
      </c>
      <c r="B16" s="86">
        <v>164</v>
      </c>
      <c r="C16" s="110" t="s">
        <v>103</v>
      </c>
      <c r="D16" s="91"/>
      <c r="E16" s="91"/>
      <c r="F16" s="92"/>
      <c r="G16" s="152">
        <v>24</v>
      </c>
      <c r="H16" s="153"/>
      <c r="I16" s="74">
        <v>400</v>
      </c>
      <c r="J16" s="74"/>
      <c r="K16" s="74">
        <f>G16*I16</f>
        <v>9600</v>
      </c>
    </row>
    <row r="17" spans="1:11" s="31" customFormat="1" ht="24" x14ac:dyDescent="0.4">
      <c r="A17" s="78">
        <v>2</v>
      </c>
      <c r="B17" s="79">
        <v>635</v>
      </c>
      <c r="C17" s="110" t="s">
        <v>112</v>
      </c>
      <c r="D17" s="91"/>
      <c r="E17" s="91"/>
      <c r="F17" s="92"/>
      <c r="G17" s="135">
        <v>24</v>
      </c>
      <c r="H17" s="136"/>
      <c r="I17" s="80">
        <v>1090</v>
      </c>
      <c r="J17" s="34"/>
      <c r="K17" s="80">
        <v>26160</v>
      </c>
    </row>
    <row r="18" spans="1:11" s="31" customFormat="1" ht="24" x14ac:dyDescent="0.4">
      <c r="A18" s="78"/>
      <c r="B18" s="79"/>
      <c r="C18" s="110"/>
      <c r="D18" s="91"/>
      <c r="E18" s="91"/>
      <c r="F18" s="92"/>
      <c r="G18" s="135"/>
      <c r="H18" s="136"/>
      <c r="I18" s="80"/>
      <c r="J18" s="34"/>
      <c r="K18" s="80"/>
    </row>
    <row r="19" spans="1:11" s="31" customFormat="1" ht="24" x14ac:dyDescent="0.4">
      <c r="A19" s="78"/>
      <c r="B19" s="33"/>
      <c r="C19" s="110"/>
      <c r="D19" s="91"/>
      <c r="E19" s="91"/>
      <c r="F19" s="92"/>
      <c r="G19" s="135"/>
      <c r="H19" s="136"/>
      <c r="I19" s="34"/>
      <c r="J19" s="34"/>
      <c r="K19" s="34"/>
    </row>
    <row r="20" spans="1:11" s="31" customFormat="1" ht="24" x14ac:dyDescent="0.4">
      <c r="A20" s="78"/>
      <c r="B20" s="33"/>
      <c r="C20" s="110"/>
      <c r="D20" s="91"/>
      <c r="E20" s="91"/>
      <c r="F20" s="92"/>
      <c r="G20" s="135"/>
      <c r="H20" s="136"/>
      <c r="I20" s="34"/>
      <c r="J20" s="34"/>
      <c r="K20" s="34"/>
    </row>
    <row r="21" spans="1:11" s="31" customFormat="1" ht="24" x14ac:dyDescent="0.4">
      <c r="A21" s="32"/>
      <c r="B21" s="33"/>
      <c r="C21" s="110"/>
      <c r="D21" s="91"/>
      <c r="E21" s="91"/>
      <c r="F21" s="92"/>
      <c r="G21" s="111"/>
      <c r="H21" s="112"/>
      <c r="I21" s="34"/>
      <c r="J21" s="34"/>
      <c r="K21" s="34"/>
    </row>
    <row r="22" spans="1:11" s="31" customFormat="1" ht="24" x14ac:dyDescent="0.4">
      <c r="A22" s="32"/>
      <c r="B22" s="33"/>
      <c r="C22" s="110"/>
      <c r="D22" s="91"/>
      <c r="E22" s="91"/>
      <c r="F22" s="92"/>
      <c r="G22" s="111"/>
      <c r="H22" s="112"/>
      <c r="I22" s="34"/>
      <c r="J22" s="34"/>
      <c r="K22" s="34"/>
    </row>
    <row r="23" spans="1:11" s="31" customFormat="1" ht="24" x14ac:dyDescent="0.4">
      <c r="A23" s="32"/>
      <c r="B23" s="33"/>
      <c r="C23" s="110"/>
      <c r="D23" s="91"/>
      <c r="E23" s="91"/>
      <c r="F23" s="92"/>
      <c r="G23" s="111"/>
      <c r="H23" s="112"/>
      <c r="I23" s="34"/>
      <c r="J23" s="34"/>
      <c r="K23" s="34"/>
    </row>
    <row r="24" spans="1:11" s="31" customFormat="1" ht="24" x14ac:dyDescent="0.4">
      <c r="A24" s="32"/>
      <c r="B24" s="33"/>
      <c r="C24" s="110"/>
      <c r="D24" s="91"/>
      <c r="E24" s="91"/>
      <c r="F24" s="92"/>
      <c r="G24" s="111"/>
      <c r="H24" s="112"/>
      <c r="I24" s="34"/>
      <c r="J24" s="34"/>
      <c r="K24" s="34"/>
    </row>
    <row r="25" spans="1:11" s="31" customFormat="1" ht="24" x14ac:dyDescent="0.4">
      <c r="A25" s="32"/>
      <c r="B25" s="33"/>
      <c r="C25" s="110"/>
      <c r="D25" s="91"/>
      <c r="E25" s="91"/>
      <c r="F25" s="92"/>
      <c r="G25" s="111"/>
      <c r="H25" s="112"/>
      <c r="I25" s="34"/>
      <c r="J25" s="34"/>
      <c r="K25" s="34"/>
    </row>
    <row r="26" spans="1:11" s="31" customFormat="1" ht="24" x14ac:dyDescent="0.4">
      <c r="A26" s="32"/>
      <c r="B26" s="33"/>
      <c r="C26" s="110"/>
      <c r="D26" s="91"/>
      <c r="E26" s="91"/>
      <c r="F26" s="92"/>
      <c r="G26" s="111"/>
      <c r="H26" s="112"/>
      <c r="I26" s="34"/>
      <c r="J26" s="34"/>
      <c r="K26" s="34"/>
    </row>
    <row r="27" spans="1:11" s="31" customFormat="1" ht="25" thickBot="1" x14ac:dyDescent="0.45">
      <c r="A27" s="35"/>
      <c r="B27" s="36"/>
      <c r="C27" s="113"/>
      <c r="D27" s="114"/>
      <c r="E27" s="114"/>
      <c r="F27" s="137"/>
      <c r="G27" s="115"/>
      <c r="H27" s="116"/>
      <c r="I27" s="37"/>
      <c r="J27" s="37"/>
      <c r="K27" s="37"/>
    </row>
    <row r="28" spans="1:11" ht="25" thickBot="1" x14ac:dyDescent="0.45">
      <c r="A28" s="4" t="s">
        <v>29</v>
      </c>
      <c r="C28" s="138"/>
      <c r="D28" s="138"/>
      <c r="E28" s="138"/>
      <c r="F28" s="138"/>
      <c r="G28" s="138"/>
      <c r="H28" s="139"/>
      <c r="I28" s="140" t="s">
        <v>19</v>
      </c>
      <c r="J28" s="141"/>
      <c r="K28" s="75">
        <f>SUM(K16:K27)</f>
        <v>35760</v>
      </c>
    </row>
    <row r="29" spans="1:11" ht="25" thickBot="1" x14ac:dyDescent="0.45">
      <c r="A29" s="154" t="s">
        <v>116</v>
      </c>
      <c r="B29" s="128"/>
      <c r="C29" s="128"/>
      <c r="D29" s="128"/>
      <c r="E29" s="128"/>
      <c r="F29" s="128"/>
      <c r="G29" s="128"/>
      <c r="H29" s="129"/>
      <c r="I29" s="140" t="s">
        <v>97</v>
      </c>
      <c r="J29" s="141"/>
      <c r="K29" s="75">
        <f>(G16+G17)*J16</f>
        <v>0</v>
      </c>
    </row>
    <row r="30" spans="1:11" ht="25" thickBot="1" x14ac:dyDescent="0.45">
      <c r="A30" s="117"/>
      <c r="B30" s="118"/>
      <c r="C30" s="118"/>
      <c r="D30" s="118"/>
      <c r="E30" s="118"/>
      <c r="F30" s="118"/>
      <c r="G30" s="118"/>
      <c r="H30" s="119"/>
      <c r="I30" s="140" t="s">
        <v>20</v>
      </c>
      <c r="J30" s="141"/>
      <c r="K30" s="75">
        <f>K28-K29</f>
        <v>35760</v>
      </c>
    </row>
    <row r="31" spans="1:11" ht="25" thickBot="1" x14ac:dyDescent="0.45">
      <c r="A31" s="143"/>
      <c r="B31" s="123"/>
      <c r="C31" s="123"/>
      <c r="D31" s="123"/>
      <c r="E31" s="123"/>
      <c r="F31" s="123"/>
      <c r="G31" s="123"/>
      <c r="H31" s="124"/>
      <c r="I31" s="140" t="s">
        <v>70</v>
      </c>
      <c r="J31" s="141"/>
      <c r="K31" s="75">
        <f>K30*7/100</f>
        <v>2503.1999999999998</v>
      </c>
    </row>
    <row r="32" spans="1:11" ht="21.75" customHeight="1" thickBot="1" x14ac:dyDescent="0.45">
      <c r="A32" s="125" t="str">
        <f>"("&amp;BAHTTEXT(K32)&amp;")"</f>
        <v>(สามหมื่นแปดพันสองร้อยหกสิบสามบาทยี่สิบสตางค์)</v>
      </c>
      <c r="B32" s="126"/>
      <c r="C32" s="126"/>
      <c r="D32" s="126"/>
      <c r="E32" s="126"/>
      <c r="F32" s="126"/>
      <c r="G32" s="126"/>
      <c r="H32" s="127"/>
      <c r="I32" s="140" t="s">
        <v>21</v>
      </c>
      <c r="J32" s="141"/>
      <c r="K32" s="75">
        <f>K30+K31</f>
        <v>38263.199999999997</v>
      </c>
    </row>
    <row r="33" spans="1:11" ht="21.75" customHeight="1" thickBot="1" x14ac:dyDescent="0.4">
      <c r="A33" s="8" t="s">
        <v>30</v>
      </c>
      <c r="K33" s="9"/>
    </row>
    <row r="34" spans="1:11" x14ac:dyDescent="0.35">
      <c r="A34" s="12"/>
      <c r="B34" s="5"/>
      <c r="C34" s="7"/>
      <c r="E34" s="12"/>
      <c r="F34" s="5"/>
      <c r="G34" s="5"/>
      <c r="H34" s="5"/>
      <c r="I34" s="7"/>
      <c r="J34" s="22" t="s">
        <v>31</v>
      </c>
      <c r="K34" s="15"/>
    </row>
    <row r="35" spans="1:11" x14ac:dyDescent="0.35">
      <c r="A35" s="10"/>
      <c r="C35" s="9"/>
      <c r="E35" s="10"/>
      <c r="I35" s="9"/>
      <c r="J35" s="22" t="s">
        <v>28</v>
      </c>
      <c r="K35" s="15"/>
    </row>
    <row r="36" spans="1:11" x14ac:dyDescent="0.35">
      <c r="A36" s="8" t="s">
        <v>24</v>
      </c>
      <c r="B36" s="2" t="s">
        <v>26</v>
      </c>
      <c r="C36" s="9"/>
      <c r="E36" s="142" t="s">
        <v>27</v>
      </c>
      <c r="F36" s="128"/>
      <c r="G36" s="128"/>
      <c r="H36" s="128"/>
      <c r="I36" s="129"/>
      <c r="J36" s="22" t="s">
        <v>32</v>
      </c>
      <c r="K36" s="15"/>
    </row>
    <row r="37" spans="1:11" ht="12" customHeight="1" x14ac:dyDescent="0.35">
      <c r="A37" s="8"/>
      <c r="B37" s="2"/>
      <c r="C37" s="15"/>
      <c r="D37" s="2"/>
      <c r="E37" s="10"/>
      <c r="I37" s="9"/>
      <c r="J37" s="22"/>
      <c r="K37" s="15"/>
    </row>
    <row r="38" spans="1:11" x14ac:dyDescent="0.35">
      <c r="A38" s="8"/>
      <c r="B38" s="2" t="s">
        <v>25</v>
      </c>
      <c r="C38" s="15"/>
      <c r="D38" s="2"/>
      <c r="E38" s="142" t="str">
        <f>'ใบกำกับภาษี (Original)'!E38</f>
        <v>( นายสันติ เหล่าสุโพธิ์ )</v>
      </c>
      <c r="F38" s="128"/>
      <c r="G38" s="128"/>
      <c r="H38" s="128"/>
      <c r="I38" s="129"/>
      <c r="J38" s="22" t="s">
        <v>33</v>
      </c>
      <c r="K38" s="15"/>
    </row>
    <row r="39" spans="1:11" x14ac:dyDescent="0.35">
      <c r="A39" s="8"/>
      <c r="B39" s="120" t="s">
        <v>38</v>
      </c>
      <c r="C39" s="121"/>
      <c r="D39" s="16"/>
      <c r="E39" s="142" t="s">
        <v>23</v>
      </c>
      <c r="F39" s="128"/>
      <c r="G39" s="128"/>
      <c r="H39" s="128"/>
      <c r="I39" s="129"/>
      <c r="J39" s="22" t="s">
        <v>34</v>
      </c>
      <c r="K39" s="15"/>
    </row>
    <row r="40" spans="1:11" ht="22" thickBot="1" x14ac:dyDescent="0.4">
      <c r="A40" s="11" t="s">
        <v>16</v>
      </c>
      <c r="B40" s="122"/>
      <c r="C40" s="107"/>
      <c r="D40" s="17"/>
      <c r="E40" s="11" t="s">
        <v>16</v>
      </c>
      <c r="F40" s="123"/>
      <c r="G40" s="123"/>
      <c r="H40" s="123"/>
      <c r="I40" s="124"/>
      <c r="J40" s="23" t="s">
        <v>35</v>
      </c>
      <c r="K40" s="21"/>
    </row>
  </sheetData>
  <mergeCells count="53">
    <mergeCell ref="B8:F8"/>
    <mergeCell ref="J8:K8"/>
    <mergeCell ref="B9:F9"/>
    <mergeCell ref="I9:K9"/>
    <mergeCell ref="B10:F10"/>
    <mergeCell ref="I10:K10"/>
    <mergeCell ref="B12:F12"/>
    <mergeCell ref="G12:K12"/>
    <mergeCell ref="A14:A15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21:F21"/>
    <mergeCell ref="G21:H21"/>
    <mergeCell ref="C22:F22"/>
    <mergeCell ref="G22:H22"/>
    <mergeCell ref="I28:J28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8:H28"/>
    <mergeCell ref="A29:H29"/>
    <mergeCell ref="I29:J29"/>
    <mergeCell ref="A30:H30"/>
    <mergeCell ref="I30:J30"/>
    <mergeCell ref="A31:H31"/>
    <mergeCell ref="I31:J31"/>
    <mergeCell ref="B40:C40"/>
    <mergeCell ref="F40:I40"/>
    <mergeCell ref="A32:H32"/>
    <mergeCell ref="I32:J32"/>
    <mergeCell ref="E36:I36"/>
    <mergeCell ref="E38:I38"/>
    <mergeCell ref="B39:C39"/>
    <mergeCell ref="E39:I39"/>
  </mergeCells>
  <pageMargins left="0.51181102362204722" right="0.39370078740157483" top="0.31496062992125984" bottom="0.31496062992125984" header="0.31496062992125984" footer="0.31496062992125984"/>
  <pageSetup paperSize="9"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"/>
  <sheetViews>
    <sheetView workbookViewId="0">
      <selection activeCell="G22" sqref="G22:H22"/>
    </sheetView>
  </sheetViews>
  <sheetFormatPr baseColWidth="10" defaultColWidth="9" defaultRowHeight="21" x14ac:dyDescent="0.35"/>
  <cols>
    <col min="1" max="1" width="7.1640625" style="1" customWidth="1"/>
    <col min="2" max="2" width="13.5" style="1" customWidth="1"/>
    <col min="3" max="3" width="17.83203125" style="1" customWidth="1"/>
    <col min="4" max="4" width="0.6640625" style="1" customWidth="1"/>
    <col min="5" max="5" width="7.33203125" style="1" customWidth="1"/>
    <col min="6" max="6" width="7.6640625" style="1" customWidth="1"/>
    <col min="7" max="7" width="9.1640625" style="1" customWidth="1"/>
    <col min="8" max="8" width="1.6640625" style="1" customWidth="1"/>
    <col min="9" max="9" width="9.33203125" style="1" customWidth="1"/>
    <col min="10" max="10" width="9.1640625" style="1" customWidth="1"/>
    <col min="11" max="11" width="13.6640625" style="1" customWidth="1"/>
    <col min="12" max="16384" width="9" style="1"/>
  </cols>
  <sheetData>
    <row r="1" spans="1:11" ht="29" x14ac:dyDescent="0.45">
      <c r="A1" s="25" t="str">
        <f>'ใบกำกับภาษี (Original)'!A1</f>
        <v>บริษัท เพาเวอร์ คลีน พลัส จำกัด สำนักงานใหญ่</v>
      </c>
    </row>
    <row r="2" spans="1:11" ht="24" x14ac:dyDescent="0.4">
      <c r="A2" s="26" t="str">
        <f>'ใบกำกับภาษี (Original)'!A2</f>
        <v>POWER CLEAN PLUS Co., LTD.</v>
      </c>
    </row>
    <row r="3" spans="1:11" ht="24" x14ac:dyDescent="0.4">
      <c r="A3" s="26" t="str">
        <f>'ใบกำกับภาษี (Original)'!A3</f>
        <v>เลขที่ 250/65 ม.5 ต.เมืองเก่า อ.เมืองขอนแก่น จ.ขอนแก่น 40000</v>
      </c>
    </row>
    <row r="4" spans="1:11" ht="25" thickBot="1" x14ac:dyDescent="0.45">
      <c r="A4" s="26" t="str">
        <f>'ใบกำกับภาษี (Original)'!A4</f>
        <v>TEL. 061-6956633 , 062-7969847</v>
      </c>
    </row>
    <row r="5" spans="1:11" ht="25" thickBot="1" x14ac:dyDescent="0.45">
      <c r="A5" s="26" t="str">
        <f>'ใบกำกับภาษี (Original)'!A5</f>
        <v>เลขประจำตัวผู้เสียภาษี 0405562003569</v>
      </c>
      <c r="I5" s="13" t="s">
        <v>36</v>
      </c>
      <c r="J5" s="76" t="str">
        <f>'ใบกำกับภาษี (Original)'!J5</f>
        <v>IV2026-05-127</v>
      </c>
      <c r="K5" s="24"/>
    </row>
    <row r="6" spans="1:11" ht="25" thickBot="1" x14ac:dyDescent="0.45">
      <c r="I6" s="13" t="s">
        <v>37</v>
      </c>
      <c r="J6" s="69" t="str">
        <f>'ใบกำกับภาษี (Original)'!J6</f>
        <v>09/05/2026</v>
      </c>
      <c r="K6" s="24"/>
    </row>
    <row r="7" spans="1:11" ht="3.75" customHeight="1" thickBot="1" x14ac:dyDescent="0.4">
      <c r="A7" s="10"/>
      <c r="I7" s="2"/>
      <c r="J7" s="3"/>
      <c r="K7" s="14"/>
    </row>
    <row r="8" spans="1:11" ht="28.5" customHeight="1" x14ac:dyDescent="0.4">
      <c r="A8" s="4" t="s">
        <v>0</v>
      </c>
      <c r="B8" s="93" t="str">
        <f>'ใบกำกับภาษี (Original)'!B8</f>
        <v>บริษัท เจียงออโตโมทีฟอุดร จำกัด สาขาหนองสำโรง (0000)</v>
      </c>
      <c r="C8" s="93"/>
      <c r="D8" s="93"/>
      <c r="E8" s="93"/>
      <c r="F8" s="94"/>
      <c r="G8" s="6" t="s">
        <v>39</v>
      </c>
      <c r="H8" s="6"/>
      <c r="I8" s="48"/>
      <c r="J8" s="89"/>
      <c r="K8" s="90"/>
    </row>
    <row r="9" spans="1:11" ht="24" x14ac:dyDescent="0.4">
      <c r="A9" s="8" t="s">
        <v>1</v>
      </c>
      <c r="B9" s="95" t="str">
        <f>'ใบกำกับภาษี (Original)'!B9</f>
        <v>0105546133987</v>
      </c>
      <c r="C9" s="95"/>
      <c r="D9" s="95"/>
      <c r="E9" s="95"/>
      <c r="F9" s="96"/>
      <c r="G9" s="2" t="s">
        <v>17</v>
      </c>
      <c r="H9" s="2"/>
      <c r="I9" s="95" t="str">
        <f>'ใบกำกับภาษี (Original)'!I9</f>
        <v>เครดิต 30 วัน</v>
      </c>
      <c r="J9" s="95"/>
      <c r="K9" s="96"/>
    </row>
    <row r="10" spans="1:11" ht="24" x14ac:dyDescent="0.4">
      <c r="A10" s="8" t="s">
        <v>2</v>
      </c>
      <c r="B10" s="133" t="str">
        <f>'ใบกำกับภาษี (Original)'!B10</f>
        <v>555 หมู่ 7 บ้านโนนพิบูลย์ ต.หมากแข้ง อ.เมืองอุดรธานี จ.อุดรธานี</v>
      </c>
      <c r="C10" s="133"/>
      <c r="D10" s="133"/>
      <c r="E10" s="133"/>
      <c r="F10" s="134"/>
      <c r="G10" s="2" t="s">
        <v>18</v>
      </c>
      <c r="H10" s="2"/>
      <c r="I10" s="147" t="str">
        <f>'ใบกำกับภาษี (Original)'!I10</f>
        <v>09/06/2026</v>
      </c>
      <c r="J10" s="147"/>
      <c r="K10" s="148"/>
    </row>
    <row r="11" spans="1:11" ht="24" x14ac:dyDescent="0.4">
      <c r="A11" s="10"/>
      <c r="B11" s="72">
        <v>41000</v>
      </c>
      <c r="C11" s="26"/>
      <c r="D11" s="26"/>
      <c r="E11" s="26"/>
      <c r="F11" s="71"/>
      <c r="G11" s="2" t="s">
        <v>95</v>
      </c>
      <c r="I11" s="31"/>
      <c r="J11" s="31"/>
      <c r="K11" s="49"/>
    </row>
    <row r="12" spans="1:11" ht="25" thickBot="1" x14ac:dyDescent="0.45">
      <c r="A12" s="11" t="s">
        <v>3</v>
      </c>
      <c r="B12" s="97"/>
      <c r="C12" s="97"/>
      <c r="D12" s="97"/>
      <c r="E12" s="97"/>
      <c r="F12" s="155"/>
      <c r="G12" s="149"/>
      <c r="H12" s="98"/>
      <c r="I12" s="98"/>
      <c r="J12" s="98"/>
      <c r="K12" s="99"/>
    </row>
    <row r="13" spans="1:11" ht="4.5" customHeight="1" thickBot="1" x14ac:dyDescent="0.4">
      <c r="A13" s="2"/>
    </row>
    <row r="14" spans="1:11" x14ac:dyDescent="0.35">
      <c r="A14" s="100" t="s">
        <v>4</v>
      </c>
      <c r="B14" s="18" t="s">
        <v>5</v>
      </c>
      <c r="C14" s="102" t="s">
        <v>6</v>
      </c>
      <c r="D14" s="102"/>
      <c r="E14" s="102"/>
      <c r="F14" s="102"/>
      <c r="G14" s="103" t="s">
        <v>7</v>
      </c>
      <c r="H14" s="104"/>
      <c r="I14" s="20" t="s">
        <v>8</v>
      </c>
      <c r="J14" s="18" t="s">
        <v>41</v>
      </c>
      <c r="K14" s="18" t="s">
        <v>9</v>
      </c>
    </row>
    <row r="15" spans="1:11" ht="22" thickBot="1" x14ac:dyDescent="0.4">
      <c r="A15" s="101"/>
      <c r="B15" s="19" t="s">
        <v>10</v>
      </c>
      <c r="C15" s="105" t="s">
        <v>11</v>
      </c>
      <c r="D15" s="105"/>
      <c r="E15" s="105"/>
      <c r="F15" s="105"/>
      <c r="G15" s="106" t="s">
        <v>12</v>
      </c>
      <c r="H15" s="107"/>
      <c r="I15" s="19" t="s">
        <v>13</v>
      </c>
      <c r="J15" s="19" t="s">
        <v>15</v>
      </c>
      <c r="K15" s="19" t="s">
        <v>14</v>
      </c>
    </row>
    <row r="16" spans="1:11" s="31" customFormat="1" ht="24" x14ac:dyDescent="0.4">
      <c r="A16" s="73">
        <v>1</v>
      </c>
      <c r="B16" s="86">
        <v>164</v>
      </c>
      <c r="C16" s="110" t="s">
        <v>103</v>
      </c>
      <c r="D16" s="91"/>
      <c r="E16" s="91"/>
      <c r="F16" s="92"/>
      <c r="G16" s="152">
        <v>24</v>
      </c>
      <c r="H16" s="153"/>
      <c r="I16" s="74">
        <v>400</v>
      </c>
      <c r="J16" s="74"/>
      <c r="K16" s="74">
        <f>G16*I16</f>
        <v>9600</v>
      </c>
    </row>
    <row r="17" spans="1:11" s="31" customFormat="1" ht="24" x14ac:dyDescent="0.4">
      <c r="A17" s="78">
        <v>2</v>
      </c>
      <c r="B17" s="79">
        <v>635</v>
      </c>
      <c r="C17" s="110" t="s">
        <v>112</v>
      </c>
      <c r="D17" s="91"/>
      <c r="E17" s="91"/>
      <c r="F17" s="92"/>
      <c r="G17" s="135">
        <v>24</v>
      </c>
      <c r="H17" s="136"/>
      <c r="I17" s="80">
        <v>1090</v>
      </c>
      <c r="J17" s="34"/>
      <c r="K17" s="80">
        <v>26160</v>
      </c>
    </row>
    <row r="18" spans="1:11" s="31" customFormat="1" ht="24" x14ac:dyDescent="0.4">
      <c r="A18" s="78"/>
      <c r="B18" s="79"/>
      <c r="C18" s="110"/>
      <c r="D18" s="91"/>
      <c r="E18" s="91"/>
      <c r="F18" s="92"/>
      <c r="G18" s="135"/>
      <c r="H18" s="136"/>
      <c r="I18" s="80"/>
      <c r="J18" s="34"/>
      <c r="K18" s="80"/>
    </row>
    <row r="19" spans="1:11" s="31" customFormat="1" ht="24" x14ac:dyDescent="0.4">
      <c r="A19" s="78"/>
      <c r="B19" s="33"/>
      <c r="C19" s="110"/>
      <c r="D19" s="91"/>
      <c r="E19" s="91"/>
      <c r="F19" s="92"/>
      <c r="G19" s="135"/>
      <c r="H19" s="136"/>
      <c r="I19" s="34"/>
      <c r="J19" s="34"/>
      <c r="K19" s="34"/>
    </row>
    <row r="20" spans="1:11" s="31" customFormat="1" ht="24" x14ac:dyDescent="0.4">
      <c r="A20" s="78"/>
      <c r="B20" s="33"/>
      <c r="C20" s="110"/>
      <c r="D20" s="91"/>
      <c r="E20" s="91"/>
      <c r="F20" s="92"/>
      <c r="G20" s="135"/>
      <c r="H20" s="136"/>
      <c r="I20" s="34"/>
      <c r="J20" s="34"/>
      <c r="K20" s="34"/>
    </row>
    <row r="21" spans="1:11" s="31" customFormat="1" ht="24" x14ac:dyDescent="0.4">
      <c r="A21" s="32"/>
      <c r="B21" s="33"/>
      <c r="C21" s="110"/>
      <c r="D21" s="91"/>
      <c r="E21" s="91"/>
      <c r="F21" s="92"/>
      <c r="G21" s="111"/>
      <c r="H21" s="112"/>
      <c r="I21" s="34"/>
      <c r="J21" s="34"/>
      <c r="K21" s="34"/>
    </row>
    <row r="22" spans="1:11" s="31" customFormat="1" ht="24" x14ac:dyDescent="0.4">
      <c r="A22" s="32"/>
      <c r="B22" s="33"/>
      <c r="C22" s="110"/>
      <c r="D22" s="91"/>
      <c r="E22" s="91"/>
      <c r="F22" s="92"/>
      <c r="G22" s="111"/>
      <c r="H22" s="112"/>
      <c r="I22" s="34"/>
      <c r="J22" s="34"/>
      <c r="K22" s="34"/>
    </row>
    <row r="23" spans="1:11" s="31" customFormat="1" ht="24" x14ac:dyDescent="0.4">
      <c r="A23" s="32"/>
      <c r="B23" s="33"/>
      <c r="C23" s="110"/>
      <c r="D23" s="91"/>
      <c r="E23" s="91"/>
      <c r="F23" s="92"/>
      <c r="G23" s="111"/>
      <c r="H23" s="112"/>
      <c r="I23" s="34"/>
      <c r="J23" s="34"/>
      <c r="K23" s="34"/>
    </row>
    <row r="24" spans="1:11" s="31" customFormat="1" ht="24" x14ac:dyDescent="0.4">
      <c r="A24" s="32"/>
      <c r="B24" s="33"/>
      <c r="C24" s="110"/>
      <c r="D24" s="91"/>
      <c r="E24" s="91"/>
      <c r="F24" s="92"/>
      <c r="G24" s="111"/>
      <c r="H24" s="112"/>
      <c r="I24" s="34"/>
      <c r="J24" s="34"/>
      <c r="K24" s="34"/>
    </row>
    <row r="25" spans="1:11" s="31" customFormat="1" ht="24" x14ac:dyDescent="0.4">
      <c r="A25" s="32"/>
      <c r="B25" s="33"/>
      <c r="C25" s="110"/>
      <c r="D25" s="91"/>
      <c r="E25" s="91"/>
      <c r="F25" s="92"/>
      <c r="G25" s="111"/>
      <c r="H25" s="112"/>
      <c r="I25" s="34"/>
      <c r="J25" s="34"/>
      <c r="K25" s="34"/>
    </row>
    <row r="26" spans="1:11" s="31" customFormat="1" ht="24" x14ac:dyDescent="0.4">
      <c r="A26" s="32"/>
      <c r="B26" s="33"/>
      <c r="C26" s="110"/>
      <c r="D26" s="91"/>
      <c r="E26" s="91"/>
      <c r="F26" s="92"/>
      <c r="G26" s="111"/>
      <c r="H26" s="112"/>
      <c r="I26" s="34"/>
      <c r="J26" s="34"/>
      <c r="K26" s="34"/>
    </row>
    <row r="27" spans="1:11" s="31" customFormat="1" ht="25" thickBot="1" x14ac:dyDescent="0.45">
      <c r="A27" s="35"/>
      <c r="B27" s="36"/>
      <c r="C27" s="113"/>
      <c r="D27" s="114"/>
      <c r="E27" s="114"/>
      <c r="F27" s="137"/>
      <c r="G27" s="115"/>
      <c r="H27" s="116"/>
      <c r="I27" s="37"/>
      <c r="J27" s="37"/>
      <c r="K27" s="37"/>
    </row>
    <row r="28" spans="1:11" ht="25" thickBot="1" x14ac:dyDescent="0.45">
      <c r="A28" s="4" t="s">
        <v>29</v>
      </c>
      <c r="C28" s="138"/>
      <c r="D28" s="138"/>
      <c r="E28" s="138"/>
      <c r="F28" s="138"/>
      <c r="G28" s="138"/>
      <c r="H28" s="139"/>
      <c r="I28" s="140" t="s">
        <v>19</v>
      </c>
      <c r="J28" s="141"/>
      <c r="K28" s="75">
        <f>SUM(K16:K27)</f>
        <v>35760</v>
      </c>
    </row>
    <row r="29" spans="1:11" ht="25" thickBot="1" x14ac:dyDescent="0.45">
      <c r="A29" s="154" t="s">
        <v>116</v>
      </c>
      <c r="B29" s="128"/>
      <c r="C29" s="128"/>
      <c r="D29" s="128"/>
      <c r="E29" s="128"/>
      <c r="F29" s="128"/>
      <c r="G29" s="128"/>
      <c r="H29" s="129"/>
      <c r="I29" s="140" t="s">
        <v>97</v>
      </c>
      <c r="J29" s="141"/>
      <c r="K29" s="75">
        <f>(G16+G17)*J16</f>
        <v>0</v>
      </c>
    </row>
    <row r="30" spans="1:11" ht="25" thickBot="1" x14ac:dyDescent="0.45">
      <c r="A30" s="117"/>
      <c r="B30" s="118"/>
      <c r="C30" s="118"/>
      <c r="D30" s="118"/>
      <c r="E30" s="118"/>
      <c r="F30" s="118"/>
      <c r="G30" s="118"/>
      <c r="H30" s="119"/>
      <c r="I30" s="140" t="s">
        <v>20</v>
      </c>
      <c r="J30" s="141"/>
      <c r="K30" s="75">
        <f>K28-K29</f>
        <v>35760</v>
      </c>
    </row>
    <row r="31" spans="1:11" ht="25" thickBot="1" x14ac:dyDescent="0.45">
      <c r="A31" s="143"/>
      <c r="B31" s="123"/>
      <c r="C31" s="123"/>
      <c r="D31" s="123"/>
      <c r="E31" s="123"/>
      <c r="F31" s="123"/>
      <c r="G31" s="123"/>
      <c r="H31" s="124"/>
      <c r="I31" s="140" t="s">
        <v>70</v>
      </c>
      <c r="J31" s="141"/>
      <c r="K31" s="75">
        <f>K30*7/100</f>
        <v>2503.1999999999998</v>
      </c>
    </row>
    <row r="32" spans="1:11" ht="21.75" customHeight="1" thickBot="1" x14ac:dyDescent="0.45">
      <c r="A32" s="125" t="str">
        <f>"("&amp;BAHTTEXT(K32)&amp;")"</f>
        <v>(สามหมื่นแปดพันสองร้อยหกสิบสามบาทยี่สิบสตางค์)</v>
      </c>
      <c r="B32" s="126"/>
      <c r="C32" s="126"/>
      <c r="D32" s="126"/>
      <c r="E32" s="126"/>
      <c r="F32" s="126"/>
      <c r="G32" s="126"/>
      <c r="H32" s="127"/>
      <c r="I32" s="140" t="s">
        <v>21</v>
      </c>
      <c r="J32" s="141"/>
      <c r="K32" s="75">
        <f>K30+K31</f>
        <v>38263.199999999997</v>
      </c>
    </row>
    <row r="33" spans="1:11" ht="21.75" customHeight="1" thickBot="1" x14ac:dyDescent="0.4">
      <c r="A33" s="8" t="s">
        <v>30</v>
      </c>
      <c r="K33" s="9"/>
    </row>
    <row r="34" spans="1:11" x14ac:dyDescent="0.35">
      <c r="A34" s="12"/>
      <c r="B34" s="5"/>
      <c r="C34" s="7"/>
      <c r="E34" s="12"/>
      <c r="F34" s="5"/>
      <c r="G34" s="5"/>
      <c r="H34" s="5"/>
      <c r="I34" s="7"/>
      <c r="J34" s="22" t="s">
        <v>31</v>
      </c>
      <c r="K34" s="15"/>
    </row>
    <row r="35" spans="1:11" x14ac:dyDescent="0.35">
      <c r="A35" s="10"/>
      <c r="C35" s="9"/>
      <c r="E35" s="10"/>
      <c r="I35" s="9"/>
      <c r="J35" s="22" t="s">
        <v>28</v>
      </c>
      <c r="K35" s="15"/>
    </row>
    <row r="36" spans="1:11" x14ac:dyDescent="0.35">
      <c r="A36" s="8" t="s">
        <v>24</v>
      </c>
      <c r="B36" s="2" t="s">
        <v>26</v>
      </c>
      <c r="C36" s="9"/>
      <c r="E36" s="142" t="s">
        <v>27</v>
      </c>
      <c r="F36" s="128"/>
      <c r="G36" s="128"/>
      <c r="H36" s="128"/>
      <c r="I36" s="129"/>
      <c r="J36" s="22" t="s">
        <v>32</v>
      </c>
      <c r="K36" s="15"/>
    </row>
    <row r="37" spans="1:11" ht="12" customHeight="1" x14ac:dyDescent="0.35">
      <c r="A37" s="8"/>
      <c r="B37" s="2"/>
      <c r="C37" s="15"/>
      <c r="D37" s="2"/>
      <c r="E37" s="10"/>
      <c r="I37" s="9"/>
      <c r="J37" s="22"/>
      <c r="K37" s="15"/>
    </row>
    <row r="38" spans="1:11" x14ac:dyDescent="0.35">
      <c r="A38" s="8"/>
      <c r="B38" s="2" t="s">
        <v>25</v>
      </c>
      <c r="C38" s="15"/>
      <c r="D38" s="2"/>
      <c r="E38" s="142" t="str">
        <f>'ใบกำกับภาษี (Original)'!E38</f>
        <v>( นายสันติ เหล่าสุโพธิ์ )</v>
      </c>
      <c r="F38" s="128"/>
      <c r="G38" s="128"/>
      <c r="H38" s="128"/>
      <c r="I38" s="129"/>
      <c r="J38" s="22" t="s">
        <v>33</v>
      </c>
      <c r="K38" s="15"/>
    </row>
    <row r="39" spans="1:11" x14ac:dyDescent="0.35">
      <c r="A39" s="8"/>
      <c r="B39" s="120" t="s">
        <v>38</v>
      </c>
      <c r="C39" s="121"/>
      <c r="D39" s="16"/>
      <c r="E39" s="142" t="s">
        <v>23</v>
      </c>
      <c r="F39" s="128"/>
      <c r="G39" s="128"/>
      <c r="H39" s="128"/>
      <c r="I39" s="129"/>
      <c r="J39" s="22" t="s">
        <v>34</v>
      </c>
      <c r="K39" s="15"/>
    </row>
    <row r="40" spans="1:11" ht="22" thickBot="1" x14ac:dyDescent="0.4">
      <c r="A40" s="11" t="s">
        <v>16</v>
      </c>
      <c r="B40" s="122"/>
      <c r="C40" s="107"/>
      <c r="D40" s="17"/>
      <c r="E40" s="11" t="s">
        <v>16</v>
      </c>
      <c r="F40" s="123"/>
      <c r="G40" s="123"/>
      <c r="H40" s="123"/>
      <c r="I40" s="124"/>
      <c r="J40" s="23" t="s">
        <v>35</v>
      </c>
      <c r="K40" s="21"/>
    </row>
  </sheetData>
  <mergeCells count="53">
    <mergeCell ref="B39:C39"/>
    <mergeCell ref="E39:I39"/>
    <mergeCell ref="B40:C40"/>
    <mergeCell ref="F40:I40"/>
    <mergeCell ref="A31:H31"/>
    <mergeCell ref="I31:J31"/>
    <mergeCell ref="A32:H32"/>
    <mergeCell ref="I32:J32"/>
    <mergeCell ref="E36:I36"/>
    <mergeCell ref="E38:I38"/>
    <mergeCell ref="C28:H28"/>
    <mergeCell ref="I28:J28"/>
    <mergeCell ref="A29:H29"/>
    <mergeCell ref="I29:J29"/>
    <mergeCell ref="A30:H30"/>
    <mergeCell ref="I30:J30"/>
    <mergeCell ref="C25:F25"/>
    <mergeCell ref="G25:H25"/>
    <mergeCell ref="C26:F26"/>
    <mergeCell ref="G26:H26"/>
    <mergeCell ref="C27:F27"/>
    <mergeCell ref="G27:H27"/>
    <mergeCell ref="C22:F22"/>
    <mergeCell ref="G22:H22"/>
    <mergeCell ref="C23:F23"/>
    <mergeCell ref="G23:H23"/>
    <mergeCell ref="C24:F24"/>
    <mergeCell ref="G24:H24"/>
    <mergeCell ref="C19:F19"/>
    <mergeCell ref="G19:H19"/>
    <mergeCell ref="C20:F20"/>
    <mergeCell ref="G20:H20"/>
    <mergeCell ref="C21:F21"/>
    <mergeCell ref="G21:H21"/>
    <mergeCell ref="C16:F16"/>
    <mergeCell ref="G16:H16"/>
    <mergeCell ref="C17:F17"/>
    <mergeCell ref="G17:H17"/>
    <mergeCell ref="C18:F18"/>
    <mergeCell ref="G18:H18"/>
    <mergeCell ref="B12:F12"/>
    <mergeCell ref="G12:K12"/>
    <mergeCell ref="A14:A15"/>
    <mergeCell ref="C14:F14"/>
    <mergeCell ref="G14:H14"/>
    <mergeCell ref="C15:F15"/>
    <mergeCell ref="G15:H15"/>
    <mergeCell ref="B8:F8"/>
    <mergeCell ref="J8:K8"/>
    <mergeCell ref="B9:F9"/>
    <mergeCell ref="I9:K9"/>
    <mergeCell ref="B10:F10"/>
    <mergeCell ref="I10:K10"/>
  </mergeCells>
  <pageMargins left="0.51181102362204722" right="0.39370078740157483" top="0.31496062992125984" bottom="0.31496062992125984" header="0.31496062992125984" footer="0.31496062992125984"/>
  <pageSetup paperSize="9"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0"/>
  <sheetViews>
    <sheetView workbookViewId="0">
      <selection activeCell="J5" sqref="J5:K5"/>
    </sheetView>
  </sheetViews>
  <sheetFormatPr baseColWidth="10" defaultColWidth="9" defaultRowHeight="21" x14ac:dyDescent="0.35"/>
  <cols>
    <col min="1" max="1" width="7.1640625" style="1" customWidth="1"/>
    <col min="2" max="2" width="13.5" style="1" customWidth="1"/>
    <col min="3" max="3" width="17.83203125" style="1" customWidth="1"/>
    <col min="4" max="4" width="0.6640625" style="1" customWidth="1"/>
    <col min="5" max="5" width="7.33203125" style="1" customWidth="1"/>
    <col min="6" max="6" width="7.6640625" style="1" customWidth="1"/>
    <col min="7" max="7" width="9.1640625" style="1" customWidth="1"/>
    <col min="8" max="8" width="1.6640625" style="1" customWidth="1"/>
    <col min="9" max="9" width="6.6640625" style="1" customWidth="1"/>
    <col min="10" max="10" width="9.1640625" style="1" customWidth="1"/>
    <col min="11" max="11" width="13.6640625" style="1" customWidth="1"/>
    <col min="12" max="16384" width="9" style="1"/>
  </cols>
  <sheetData>
    <row r="1" spans="1:11" ht="29" x14ac:dyDescent="0.45">
      <c r="A1" s="25" t="str">
        <f>'ใบกำกับภาษี (Original)'!A1</f>
        <v>บริษัท เพาเวอร์ คลีน พลัส จำกัด สำนักงานใหญ่</v>
      </c>
    </row>
    <row r="2" spans="1:11" ht="24" x14ac:dyDescent="0.4">
      <c r="A2" s="26" t="str">
        <f>'ใบกำกับภาษี (Original)'!A2</f>
        <v>POWER CLEAN PLUS Co., LTD.</v>
      </c>
    </row>
    <row r="3" spans="1:11" ht="24" x14ac:dyDescent="0.4">
      <c r="A3" s="26" t="str">
        <f>'ใบกำกับภาษี (Original)'!A3</f>
        <v>เลขที่ 250/65 ม.5 ต.เมืองเก่า อ.เมืองขอนแก่น จ.ขอนแก่น 40000</v>
      </c>
    </row>
    <row r="4" spans="1:11" ht="25" thickBot="1" x14ac:dyDescent="0.45">
      <c r="A4" s="26" t="str">
        <f>'ใบกำกับภาษี (Original)'!A4</f>
        <v>TEL. 061-6956633 , 062-7969847</v>
      </c>
    </row>
    <row r="5" spans="1:11" ht="25" thickBot="1" x14ac:dyDescent="0.45">
      <c r="A5" s="26" t="str">
        <f>'ใบกำกับภาษี (Original)'!A5</f>
        <v>เลขประจำตัวผู้เสียภาษี 0405562003569</v>
      </c>
      <c r="I5" s="13" t="s">
        <v>36</v>
      </c>
      <c r="J5" s="76"/>
      <c r="K5" s="24"/>
    </row>
    <row r="6" spans="1:11" ht="25" thickBot="1" x14ac:dyDescent="0.45">
      <c r="I6" s="13" t="s">
        <v>37</v>
      </c>
      <c r="J6" s="85" t="s">
        <v>106</v>
      </c>
      <c r="K6" s="24"/>
    </row>
    <row r="7" spans="1:11" ht="3.75" customHeight="1" thickBot="1" x14ac:dyDescent="0.4">
      <c r="A7" s="45"/>
      <c r="I7" s="2"/>
      <c r="J7" s="3"/>
      <c r="K7" s="14"/>
    </row>
    <row r="8" spans="1:11" ht="28.5" customHeight="1" x14ac:dyDescent="0.4">
      <c r="A8" s="4" t="s">
        <v>0</v>
      </c>
      <c r="B8" s="89" t="str">
        <f>'ใบกำกับภาษี (Original)'!B8</f>
        <v>บริษัท เจียงออโตโมทีฟอุดร จำกัด สาขาหนองสำโรง (0000)</v>
      </c>
      <c r="C8" s="89"/>
      <c r="D8" s="89"/>
      <c r="E8" s="89"/>
      <c r="F8" s="90"/>
      <c r="G8" s="6" t="s">
        <v>78</v>
      </c>
      <c r="H8" s="6"/>
      <c r="I8" s="48"/>
      <c r="J8" s="93" t="s">
        <v>105</v>
      </c>
      <c r="K8" s="94"/>
    </row>
    <row r="9" spans="1:11" ht="24" x14ac:dyDescent="0.4">
      <c r="A9" s="8" t="s">
        <v>1</v>
      </c>
      <c r="B9" s="91" t="str">
        <f>'ใบกำกับภาษี (Original)'!B9</f>
        <v>0105546133987</v>
      </c>
      <c r="C9" s="91"/>
      <c r="D9" s="91"/>
      <c r="E9" s="91"/>
      <c r="F9" s="92"/>
      <c r="G9" s="8"/>
      <c r="H9" s="2"/>
      <c r="I9" s="91" t="s">
        <v>75</v>
      </c>
      <c r="J9" s="91"/>
      <c r="K9" s="92"/>
    </row>
    <row r="10" spans="1:11" ht="24" x14ac:dyDescent="0.4">
      <c r="A10" s="8" t="s">
        <v>2</v>
      </c>
      <c r="B10" s="91" t="str">
        <f>'ใบกำกับภาษี (Original)'!B10</f>
        <v>555 หมู่ 7 บ้านโนนพิบูลย์ ต.หมากแข้ง อ.เมืองอุดรธานี จ.อุดรธานี</v>
      </c>
      <c r="C10" s="91"/>
      <c r="D10" s="91"/>
      <c r="E10" s="91"/>
      <c r="F10" s="92"/>
      <c r="G10" s="8"/>
      <c r="H10" s="2"/>
      <c r="I10" s="91" t="s">
        <v>107</v>
      </c>
      <c r="J10" s="91"/>
      <c r="K10" s="92"/>
    </row>
    <row r="11" spans="1:11" ht="24" x14ac:dyDescent="0.4">
      <c r="A11" s="10"/>
      <c r="B11" s="77">
        <f>'ใบกำกับภาษี (Original)'!B11</f>
        <v>41000</v>
      </c>
      <c r="C11" s="46"/>
      <c r="D11" s="46"/>
      <c r="E11" s="46"/>
      <c r="F11" s="47"/>
      <c r="G11" s="8"/>
      <c r="I11" s="156" t="s">
        <v>77</v>
      </c>
      <c r="J11" s="156"/>
      <c r="K11" s="157"/>
    </row>
    <row r="12" spans="1:11" ht="25" thickBot="1" x14ac:dyDescent="0.45">
      <c r="A12" s="11" t="s">
        <v>3</v>
      </c>
      <c r="B12" s="97"/>
      <c r="C12" s="97"/>
      <c r="D12" s="97"/>
      <c r="E12" s="97"/>
      <c r="F12" s="155"/>
      <c r="G12" s="149"/>
      <c r="H12" s="98"/>
      <c r="I12" s="98"/>
      <c r="J12" s="98"/>
      <c r="K12" s="99"/>
    </row>
    <row r="13" spans="1:11" ht="4.5" customHeight="1" thickBot="1" x14ac:dyDescent="0.4">
      <c r="A13" s="2"/>
    </row>
    <row r="14" spans="1:11" x14ac:dyDescent="0.35">
      <c r="A14" s="100" t="s">
        <v>4</v>
      </c>
      <c r="B14" s="103" t="s">
        <v>6</v>
      </c>
      <c r="C14" s="158"/>
      <c r="D14" s="158"/>
      <c r="E14" s="158"/>
      <c r="F14" s="104"/>
      <c r="G14" s="103" t="s">
        <v>7</v>
      </c>
      <c r="H14" s="158"/>
      <c r="I14" s="104"/>
      <c r="J14" s="103" t="s">
        <v>9</v>
      </c>
      <c r="K14" s="104"/>
    </row>
    <row r="15" spans="1:11" ht="22" thickBot="1" x14ac:dyDescent="0.4">
      <c r="A15" s="101"/>
      <c r="B15" s="106" t="s">
        <v>11</v>
      </c>
      <c r="C15" s="122"/>
      <c r="D15" s="122"/>
      <c r="E15" s="122"/>
      <c r="F15" s="107"/>
      <c r="G15" s="106" t="s">
        <v>12</v>
      </c>
      <c r="H15" s="122"/>
      <c r="I15" s="107"/>
      <c r="J15" s="106" t="s">
        <v>14</v>
      </c>
      <c r="K15" s="107"/>
    </row>
    <row r="16" spans="1:11" s="31" customFormat="1" ht="24" x14ac:dyDescent="0.4">
      <c r="A16" s="28" t="e">
        <f>'[1]ใบกำกับภาษี (Original)'!A16</f>
        <v>#REF!</v>
      </c>
      <c r="B16" s="166" t="s">
        <v>103</v>
      </c>
      <c r="C16" s="167"/>
      <c r="D16" s="167"/>
      <c r="E16" s="167"/>
      <c r="F16" s="168"/>
      <c r="G16" s="159">
        <v>12</v>
      </c>
      <c r="H16" s="160"/>
      <c r="I16" s="38"/>
      <c r="J16" s="39"/>
      <c r="K16" s="38">
        <v>4800</v>
      </c>
    </row>
    <row r="17" spans="1:11" s="31" customFormat="1" ht="24" x14ac:dyDescent="0.4">
      <c r="A17" s="32">
        <v>2</v>
      </c>
      <c r="B17" s="110" t="s">
        <v>104</v>
      </c>
      <c r="C17" s="91"/>
      <c r="D17" s="91"/>
      <c r="E17" s="91"/>
      <c r="F17" s="92"/>
      <c r="G17" s="161">
        <v>12</v>
      </c>
      <c r="H17" s="162"/>
      <c r="I17" s="40"/>
      <c r="J17" s="41"/>
      <c r="K17" s="40">
        <v>3480</v>
      </c>
    </row>
    <row r="18" spans="1:11" s="31" customFormat="1" ht="24" x14ac:dyDescent="0.4">
      <c r="A18" s="32"/>
      <c r="B18" s="110"/>
      <c r="C18" s="91"/>
      <c r="D18" s="91"/>
      <c r="E18" s="91"/>
      <c r="F18" s="92"/>
      <c r="G18" s="161"/>
      <c r="H18" s="162"/>
      <c r="I18" s="40"/>
      <c r="J18" s="41"/>
      <c r="K18" s="40"/>
    </row>
    <row r="19" spans="1:11" s="31" customFormat="1" ht="24" x14ac:dyDescent="0.4">
      <c r="A19" s="32"/>
      <c r="B19" s="110"/>
      <c r="C19" s="91"/>
      <c r="D19" s="91"/>
      <c r="E19" s="91"/>
      <c r="F19" s="92"/>
      <c r="G19" s="161"/>
      <c r="H19" s="162"/>
      <c r="I19" s="40"/>
      <c r="J19" s="41"/>
      <c r="K19" s="40"/>
    </row>
    <row r="20" spans="1:11" s="31" customFormat="1" ht="24" x14ac:dyDescent="0.4">
      <c r="A20" s="32"/>
      <c r="B20" s="32"/>
      <c r="C20" s="91"/>
      <c r="D20" s="91"/>
      <c r="E20" s="91"/>
      <c r="F20" s="92"/>
      <c r="G20" s="111"/>
      <c r="H20" s="109"/>
      <c r="I20" s="40"/>
      <c r="J20" s="41"/>
      <c r="K20" s="40"/>
    </row>
    <row r="21" spans="1:11" s="31" customFormat="1" ht="24" x14ac:dyDescent="0.4">
      <c r="A21" s="32"/>
      <c r="B21" s="32"/>
      <c r="C21" s="91"/>
      <c r="D21" s="91"/>
      <c r="E21" s="91"/>
      <c r="F21" s="92"/>
      <c r="G21" s="111"/>
      <c r="H21" s="109"/>
      <c r="I21" s="40"/>
      <c r="J21" s="41"/>
      <c r="K21" s="40"/>
    </row>
    <row r="22" spans="1:11" s="31" customFormat="1" ht="24" x14ac:dyDescent="0.4">
      <c r="A22" s="32"/>
      <c r="B22" s="32"/>
      <c r="C22" s="91"/>
      <c r="D22" s="91"/>
      <c r="E22" s="91"/>
      <c r="F22" s="92"/>
      <c r="G22" s="111"/>
      <c r="H22" s="109"/>
      <c r="I22" s="40"/>
      <c r="J22" s="41"/>
      <c r="K22" s="40"/>
    </row>
    <row r="23" spans="1:11" s="31" customFormat="1" ht="24" x14ac:dyDescent="0.4">
      <c r="A23" s="32"/>
      <c r="B23" s="32"/>
      <c r="C23" s="91"/>
      <c r="D23" s="91"/>
      <c r="E23" s="91"/>
      <c r="F23" s="92"/>
      <c r="G23" s="111"/>
      <c r="H23" s="109"/>
      <c r="I23" s="40"/>
      <c r="J23" s="41"/>
      <c r="K23" s="40"/>
    </row>
    <row r="24" spans="1:11" s="31" customFormat="1" ht="24" x14ac:dyDescent="0.4">
      <c r="A24" s="32"/>
      <c r="B24" s="32"/>
      <c r="C24" s="91"/>
      <c r="D24" s="91"/>
      <c r="E24" s="91"/>
      <c r="F24" s="92"/>
      <c r="G24" s="111"/>
      <c r="H24" s="109"/>
      <c r="I24" s="40"/>
      <c r="J24" s="41"/>
      <c r="K24" s="40"/>
    </row>
    <row r="25" spans="1:11" s="31" customFormat="1" ht="24" x14ac:dyDescent="0.4">
      <c r="A25" s="32"/>
      <c r="B25" s="32"/>
      <c r="C25" s="91"/>
      <c r="D25" s="91"/>
      <c r="E25" s="91"/>
      <c r="F25" s="92"/>
      <c r="G25" s="111"/>
      <c r="H25" s="109"/>
      <c r="I25" s="40"/>
      <c r="J25" s="41"/>
      <c r="K25" s="40"/>
    </row>
    <row r="26" spans="1:11" s="31" customFormat="1" ht="24" x14ac:dyDescent="0.4">
      <c r="A26" s="32"/>
      <c r="B26" s="32"/>
      <c r="C26" s="91"/>
      <c r="D26" s="91"/>
      <c r="E26" s="91"/>
      <c r="F26" s="92"/>
      <c r="G26" s="111"/>
      <c r="H26" s="109"/>
      <c r="I26" s="40"/>
      <c r="J26" s="41"/>
      <c r="K26" s="40"/>
    </row>
    <row r="27" spans="1:11" s="31" customFormat="1" ht="25" thickBot="1" x14ac:dyDescent="0.45">
      <c r="A27" s="35"/>
      <c r="B27" s="35"/>
      <c r="C27" s="114"/>
      <c r="D27" s="114"/>
      <c r="E27" s="114"/>
      <c r="F27" s="137"/>
      <c r="G27" s="115"/>
      <c r="H27" s="165"/>
      <c r="I27" s="42"/>
      <c r="J27" s="43"/>
      <c r="K27" s="42"/>
    </row>
    <row r="28" spans="1:11" ht="25" thickBot="1" x14ac:dyDescent="0.45">
      <c r="A28" s="4" t="s">
        <v>29</v>
      </c>
      <c r="C28" s="138"/>
      <c r="D28" s="138"/>
      <c r="E28" s="138"/>
      <c r="F28" s="138"/>
      <c r="G28" s="138"/>
      <c r="H28" s="139"/>
      <c r="I28" s="163" t="s">
        <v>19</v>
      </c>
      <c r="J28" s="164"/>
      <c r="K28" s="44">
        <f>SUM(K16:K27)</f>
        <v>8280</v>
      </c>
    </row>
    <row r="29" spans="1:11" ht="25" thickBot="1" x14ac:dyDescent="0.45">
      <c r="A29" s="169"/>
      <c r="B29" s="170"/>
      <c r="C29" s="170"/>
      <c r="D29" s="170"/>
      <c r="E29" s="170"/>
      <c r="F29" s="170"/>
      <c r="G29" s="170"/>
      <c r="H29" s="171"/>
      <c r="I29" s="163" t="s">
        <v>22</v>
      </c>
      <c r="J29" s="164"/>
      <c r="K29" s="44">
        <f>'ใบกำกับภาษี (Original)'!K29</f>
        <v>0</v>
      </c>
    </row>
    <row r="30" spans="1:11" ht="25" thickBot="1" x14ac:dyDescent="0.45">
      <c r="A30" s="117"/>
      <c r="B30" s="118"/>
      <c r="C30" s="118"/>
      <c r="D30" s="118"/>
      <c r="E30" s="118"/>
      <c r="F30" s="118"/>
      <c r="G30" s="118"/>
      <c r="H30" s="119"/>
      <c r="I30" s="163" t="s">
        <v>20</v>
      </c>
      <c r="J30" s="164"/>
      <c r="K30" s="44">
        <f>K28-K29</f>
        <v>8280</v>
      </c>
    </row>
    <row r="31" spans="1:11" ht="25" thickBot="1" x14ac:dyDescent="0.45">
      <c r="A31" s="143"/>
      <c r="B31" s="123"/>
      <c r="C31" s="123"/>
      <c r="D31" s="123"/>
      <c r="E31" s="123"/>
      <c r="F31" s="123"/>
      <c r="G31" s="123"/>
      <c r="H31" s="124"/>
      <c r="I31" s="163" t="s">
        <v>70</v>
      </c>
      <c r="J31" s="164"/>
      <c r="K31" s="44">
        <f>K30*7/100</f>
        <v>579.6</v>
      </c>
    </row>
    <row r="32" spans="1:11" ht="21.75" customHeight="1" thickBot="1" x14ac:dyDescent="0.45">
      <c r="A32" s="125" t="str">
        <f>"("&amp;BAHTTEXT(K32)&amp;")"</f>
        <v>(แปดพันแปดร้อยห้าสิบเก้าบาทหกสิบสตางค์)</v>
      </c>
      <c r="B32" s="126"/>
      <c r="C32" s="126"/>
      <c r="D32" s="126"/>
      <c r="E32" s="126"/>
      <c r="F32" s="126"/>
      <c r="G32" s="126"/>
      <c r="H32" s="127"/>
      <c r="I32" s="163" t="s">
        <v>21</v>
      </c>
      <c r="J32" s="164"/>
      <c r="K32" s="44">
        <f>K30+K31</f>
        <v>8859.6</v>
      </c>
    </row>
    <row r="33" spans="1:11" ht="21.75" customHeight="1" thickBot="1" x14ac:dyDescent="0.4">
      <c r="A33" s="8" t="s">
        <v>30</v>
      </c>
      <c r="K33" s="9"/>
    </row>
    <row r="34" spans="1:11" x14ac:dyDescent="0.35">
      <c r="A34" s="12"/>
      <c r="B34" s="5"/>
      <c r="C34" s="7"/>
      <c r="E34" s="12"/>
      <c r="F34" s="5"/>
      <c r="G34" s="5"/>
      <c r="H34" s="5"/>
      <c r="I34" s="7"/>
      <c r="J34" s="22" t="s">
        <v>31</v>
      </c>
      <c r="K34" s="15"/>
    </row>
    <row r="35" spans="1:11" x14ac:dyDescent="0.35">
      <c r="A35" s="10"/>
      <c r="C35" s="9"/>
      <c r="E35" s="10"/>
      <c r="I35" s="9"/>
      <c r="J35" s="22" t="s">
        <v>28</v>
      </c>
      <c r="K35" s="15"/>
    </row>
    <row r="36" spans="1:11" x14ac:dyDescent="0.35">
      <c r="A36" s="8" t="s">
        <v>24</v>
      </c>
      <c r="B36" s="2" t="s">
        <v>26</v>
      </c>
      <c r="C36" s="9"/>
      <c r="E36" s="142" t="s">
        <v>27</v>
      </c>
      <c r="F36" s="128"/>
      <c r="G36" s="128"/>
      <c r="H36" s="128"/>
      <c r="I36" s="129"/>
      <c r="J36" s="22" t="s">
        <v>32</v>
      </c>
      <c r="K36" s="15"/>
    </row>
    <row r="37" spans="1:11" ht="12" customHeight="1" x14ac:dyDescent="0.35">
      <c r="A37" s="8"/>
      <c r="B37" s="2"/>
      <c r="C37" s="15"/>
      <c r="D37" s="2"/>
      <c r="E37" s="10"/>
      <c r="I37" s="9"/>
      <c r="J37" s="22"/>
      <c r="K37" s="15"/>
    </row>
    <row r="38" spans="1:11" x14ac:dyDescent="0.35">
      <c r="A38" s="8"/>
      <c r="B38" s="2" t="s">
        <v>25</v>
      </c>
      <c r="C38" s="15"/>
      <c r="D38" s="2"/>
      <c r="E38" s="142" t="str">
        <f>'ใบกำกับภาษี (Original)'!E38</f>
        <v>( นายสันติ เหล่าสุโพธิ์ )</v>
      </c>
      <c r="F38" s="128"/>
      <c r="G38" s="128"/>
      <c r="H38" s="128"/>
      <c r="I38" s="129"/>
      <c r="J38" s="22" t="s">
        <v>33</v>
      </c>
      <c r="K38" s="15"/>
    </row>
    <row r="39" spans="1:11" x14ac:dyDescent="0.35">
      <c r="A39" s="8"/>
      <c r="B39" s="120" t="s">
        <v>38</v>
      </c>
      <c r="C39" s="121"/>
      <c r="D39" s="16"/>
      <c r="E39" s="142" t="s">
        <v>23</v>
      </c>
      <c r="F39" s="128"/>
      <c r="G39" s="128"/>
      <c r="H39" s="128"/>
      <c r="I39" s="129"/>
      <c r="J39" s="22" t="s">
        <v>34</v>
      </c>
      <c r="K39" s="15"/>
    </row>
    <row r="40" spans="1:11" ht="22" thickBot="1" x14ac:dyDescent="0.4">
      <c r="A40" s="11" t="s">
        <v>16</v>
      </c>
      <c r="B40" s="122"/>
      <c r="C40" s="107"/>
      <c r="D40" s="17"/>
      <c r="E40" s="11" t="s">
        <v>16</v>
      </c>
      <c r="F40" s="123"/>
      <c r="G40" s="123"/>
      <c r="H40" s="123"/>
      <c r="I40" s="124"/>
      <c r="J40" s="23" t="s">
        <v>35</v>
      </c>
      <c r="K40" s="21"/>
    </row>
  </sheetData>
  <mergeCells count="56">
    <mergeCell ref="B40:C40"/>
    <mergeCell ref="F40:I40"/>
    <mergeCell ref="B14:F14"/>
    <mergeCell ref="B15:F15"/>
    <mergeCell ref="B16:F16"/>
    <mergeCell ref="B17:F17"/>
    <mergeCell ref="A32:H32"/>
    <mergeCell ref="I32:J32"/>
    <mergeCell ref="E36:I36"/>
    <mergeCell ref="E38:I38"/>
    <mergeCell ref="B39:C39"/>
    <mergeCell ref="E39:I39"/>
    <mergeCell ref="A29:H29"/>
    <mergeCell ref="I29:J29"/>
    <mergeCell ref="A30:H30"/>
    <mergeCell ref="I30:J30"/>
    <mergeCell ref="A31:H31"/>
    <mergeCell ref="I31:J31"/>
    <mergeCell ref="I28:J28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8:H28"/>
    <mergeCell ref="C21:F21"/>
    <mergeCell ref="G21:H21"/>
    <mergeCell ref="C22:F22"/>
    <mergeCell ref="G22:H22"/>
    <mergeCell ref="G19:H19"/>
    <mergeCell ref="C20:F20"/>
    <mergeCell ref="G20:H20"/>
    <mergeCell ref="B19:F19"/>
    <mergeCell ref="G16:H16"/>
    <mergeCell ref="G17:H17"/>
    <mergeCell ref="G18:H18"/>
    <mergeCell ref="B12:F12"/>
    <mergeCell ref="G12:K12"/>
    <mergeCell ref="B18:F18"/>
    <mergeCell ref="A14:A15"/>
    <mergeCell ref="I11:K11"/>
    <mergeCell ref="J14:K14"/>
    <mergeCell ref="J15:K15"/>
    <mergeCell ref="G14:I14"/>
    <mergeCell ref="G15:I15"/>
    <mergeCell ref="B8:F8"/>
    <mergeCell ref="J8:K8"/>
    <mergeCell ref="B9:F9"/>
    <mergeCell ref="I9:K9"/>
    <mergeCell ref="B10:F10"/>
    <mergeCell ref="I10:K10"/>
  </mergeCells>
  <pageMargins left="0.63" right="0.39370078740157483" top="0.31496062992125984" bottom="0.31496062992125984" header="0.31496062992125984" footer="0.31496062992125984"/>
  <pageSetup paperSize="9"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topLeftCell="A3" workbookViewId="0">
      <selection activeCell="J5" sqref="J5:K5"/>
    </sheetView>
  </sheetViews>
  <sheetFormatPr baseColWidth="10" defaultColWidth="9" defaultRowHeight="21" x14ac:dyDescent="0.35"/>
  <cols>
    <col min="1" max="1" width="7.1640625" style="1" customWidth="1"/>
    <col min="2" max="2" width="13.5" style="1" customWidth="1"/>
    <col min="3" max="3" width="17.83203125" style="1" customWidth="1"/>
    <col min="4" max="4" width="0.6640625" style="1" customWidth="1"/>
    <col min="5" max="5" width="7.33203125" style="1" customWidth="1"/>
    <col min="6" max="6" width="7.6640625" style="1" customWidth="1"/>
    <col min="7" max="7" width="9.1640625" style="1" customWidth="1"/>
    <col min="8" max="8" width="1.6640625" style="1" customWidth="1"/>
    <col min="9" max="9" width="6.6640625" style="1" customWidth="1"/>
    <col min="10" max="10" width="9.1640625" style="1" customWidth="1"/>
    <col min="11" max="11" width="13.6640625" style="1" customWidth="1"/>
    <col min="12" max="16384" width="9" style="1"/>
  </cols>
  <sheetData>
    <row r="1" spans="1:11" ht="29" x14ac:dyDescent="0.45">
      <c r="A1" s="25" t="str">
        <f>'ใบกำกับภาษี (Original)'!A1</f>
        <v>บริษัท เพาเวอร์ คลีน พลัส จำกัด สำนักงานใหญ่</v>
      </c>
    </row>
    <row r="2" spans="1:11" ht="24" x14ac:dyDescent="0.4">
      <c r="A2" s="26" t="str">
        <f>'ใบกำกับภาษี (Original)'!A2</f>
        <v>POWER CLEAN PLUS Co., LTD.</v>
      </c>
    </row>
    <row r="3" spans="1:11" ht="24" x14ac:dyDescent="0.4">
      <c r="A3" s="26" t="str">
        <f>'ใบกำกับภาษี (Original)'!A3</f>
        <v>เลขที่ 250/65 ม.5 ต.เมืองเก่า อ.เมืองขอนแก่น จ.ขอนแก่น 40000</v>
      </c>
    </row>
    <row r="4" spans="1:11" ht="25" thickBot="1" x14ac:dyDescent="0.45">
      <c r="A4" s="26" t="str">
        <f>'ใบกำกับภาษี (Original)'!A4</f>
        <v>TEL. 061-6956633 , 062-7969847</v>
      </c>
    </row>
    <row r="5" spans="1:11" ht="25" thickBot="1" x14ac:dyDescent="0.45">
      <c r="A5" s="26" t="str">
        <f>'ใบกำกับภาษี (Original)'!A5</f>
        <v>เลขประจำตัวผู้เสียภาษี 0405562003569</v>
      </c>
      <c r="I5" s="13" t="s">
        <v>36</v>
      </c>
      <c r="J5" s="76"/>
      <c r="K5" s="24"/>
    </row>
    <row r="6" spans="1:11" ht="25" thickBot="1" x14ac:dyDescent="0.45">
      <c r="I6" s="13" t="s">
        <v>37</v>
      </c>
      <c r="J6" s="85" t="s">
        <v>106</v>
      </c>
      <c r="K6" s="24"/>
    </row>
    <row r="7" spans="1:11" ht="3.75" customHeight="1" thickBot="1" x14ac:dyDescent="0.4">
      <c r="A7" s="45"/>
      <c r="I7" s="2"/>
      <c r="J7" s="3"/>
      <c r="K7" s="14"/>
    </row>
    <row r="8" spans="1:11" ht="28.5" customHeight="1" x14ac:dyDescent="0.4">
      <c r="A8" s="4" t="s">
        <v>0</v>
      </c>
      <c r="B8" s="89" t="str">
        <f>'ใบกำกับภาษี (Original)'!B8</f>
        <v>บริษัท เจียงออโตโมทีฟอุดร จำกัด สาขาหนองสำโรง (0000)</v>
      </c>
      <c r="C8" s="89"/>
      <c r="D8" s="89"/>
      <c r="E8" s="89"/>
      <c r="F8" s="90"/>
      <c r="G8" s="6" t="s">
        <v>78</v>
      </c>
      <c r="H8" s="6"/>
      <c r="I8" s="48"/>
      <c r="J8" s="93" t="s">
        <v>105</v>
      </c>
      <c r="K8" s="94"/>
    </row>
    <row r="9" spans="1:11" ht="24" x14ac:dyDescent="0.4">
      <c r="A9" s="8" t="s">
        <v>1</v>
      </c>
      <c r="B9" s="91" t="str">
        <f>'ใบกำกับภาษี (Original)'!B9</f>
        <v>0105546133987</v>
      </c>
      <c r="C9" s="91"/>
      <c r="D9" s="91"/>
      <c r="E9" s="91"/>
      <c r="F9" s="92"/>
      <c r="G9" s="8"/>
      <c r="H9" s="2"/>
      <c r="I9" s="91" t="s">
        <v>75</v>
      </c>
      <c r="J9" s="91"/>
      <c r="K9" s="92"/>
    </row>
    <row r="10" spans="1:11" ht="24" x14ac:dyDescent="0.4">
      <c r="A10" s="8" t="s">
        <v>2</v>
      </c>
      <c r="B10" s="91" t="str">
        <f>'ใบกำกับภาษี (Original)'!B10</f>
        <v>555 หมู่ 7 บ้านโนนพิบูลย์ ต.หมากแข้ง อ.เมืองอุดรธานี จ.อุดรธานี</v>
      </c>
      <c r="C10" s="91"/>
      <c r="D10" s="91"/>
      <c r="E10" s="91"/>
      <c r="F10" s="92"/>
      <c r="G10" s="8"/>
      <c r="H10" s="2"/>
      <c r="I10" s="91" t="s">
        <v>107</v>
      </c>
      <c r="J10" s="91"/>
      <c r="K10" s="92"/>
    </row>
    <row r="11" spans="1:11" ht="24" x14ac:dyDescent="0.4">
      <c r="A11" s="10"/>
      <c r="B11" s="77">
        <f>'ใบกำกับภาษี (Original)'!B11</f>
        <v>41000</v>
      </c>
      <c r="C11" s="46"/>
      <c r="D11" s="46"/>
      <c r="E11" s="46"/>
      <c r="F11" s="47"/>
      <c r="G11" s="8"/>
      <c r="I11" s="156" t="s">
        <v>77</v>
      </c>
      <c r="J11" s="156"/>
      <c r="K11" s="157"/>
    </row>
    <row r="12" spans="1:11" ht="25" thickBot="1" x14ac:dyDescent="0.45">
      <c r="A12" s="11" t="s">
        <v>3</v>
      </c>
      <c r="B12" s="97"/>
      <c r="C12" s="97"/>
      <c r="D12" s="97"/>
      <c r="E12" s="97"/>
      <c r="F12" s="155"/>
      <c r="G12" s="149"/>
      <c r="H12" s="98"/>
      <c r="I12" s="98"/>
      <c r="J12" s="98"/>
      <c r="K12" s="99"/>
    </row>
    <row r="13" spans="1:11" ht="4.5" customHeight="1" thickBot="1" x14ac:dyDescent="0.4">
      <c r="A13" s="2"/>
    </row>
    <row r="14" spans="1:11" x14ac:dyDescent="0.35">
      <c r="A14" s="100" t="s">
        <v>4</v>
      </c>
      <c r="B14" s="103" t="s">
        <v>6</v>
      </c>
      <c r="C14" s="158"/>
      <c r="D14" s="158"/>
      <c r="E14" s="158"/>
      <c r="F14" s="104"/>
      <c r="G14" s="103" t="s">
        <v>7</v>
      </c>
      <c r="H14" s="158"/>
      <c r="I14" s="104"/>
      <c r="J14" s="103" t="s">
        <v>9</v>
      </c>
      <c r="K14" s="104"/>
    </row>
    <row r="15" spans="1:11" ht="22" thickBot="1" x14ac:dyDescent="0.4">
      <c r="A15" s="101"/>
      <c r="B15" s="106" t="s">
        <v>11</v>
      </c>
      <c r="C15" s="122"/>
      <c r="D15" s="122"/>
      <c r="E15" s="122"/>
      <c r="F15" s="107"/>
      <c r="G15" s="106" t="s">
        <v>12</v>
      </c>
      <c r="H15" s="122"/>
      <c r="I15" s="107"/>
      <c r="J15" s="106" t="s">
        <v>14</v>
      </c>
      <c r="K15" s="107"/>
    </row>
    <row r="16" spans="1:11" s="31" customFormat="1" ht="24" x14ac:dyDescent="0.4">
      <c r="A16" s="28">
        <v>1</v>
      </c>
      <c r="B16" s="166" t="s">
        <v>103</v>
      </c>
      <c r="C16" s="167"/>
      <c r="D16" s="167"/>
      <c r="E16" s="167"/>
      <c r="F16" s="168"/>
      <c r="G16" s="159">
        <v>12</v>
      </c>
      <c r="H16" s="160"/>
      <c r="I16" s="38"/>
      <c r="J16" s="39"/>
      <c r="K16" s="38">
        <v>4800</v>
      </c>
    </row>
    <row r="17" spans="1:11" s="31" customFormat="1" ht="24" x14ac:dyDescent="0.4">
      <c r="A17" s="32">
        <v>2</v>
      </c>
      <c r="B17" s="110" t="s">
        <v>104</v>
      </c>
      <c r="C17" s="91"/>
      <c r="D17" s="91"/>
      <c r="E17" s="91"/>
      <c r="F17" s="92"/>
      <c r="G17" s="161">
        <v>12</v>
      </c>
      <c r="H17" s="162"/>
      <c r="I17" s="40"/>
      <c r="J17" s="41"/>
      <c r="K17" s="40">
        <v>3480</v>
      </c>
    </row>
    <row r="18" spans="1:11" s="31" customFormat="1" ht="24" x14ac:dyDescent="0.4">
      <c r="A18" s="32"/>
      <c r="B18" s="110"/>
      <c r="C18" s="91"/>
      <c r="D18" s="91"/>
      <c r="E18" s="91"/>
      <c r="F18" s="92"/>
      <c r="G18" s="161"/>
      <c r="H18" s="162"/>
      <c r="I18" s="40"/>
      <c r="J18" s="41"/>
      <c r="K18" s="40"/>
    </row>
    <row r="19" spans="1:11" s="31" customFormat="1" ht="24" x14ac:dyDescent="0.4">
      <c r="A19" s="32"/>
      <c r="B19" s="110"/>
      <c r="C19" s="91"/>
      <c r="D19" s="91"/>
      <c r="E19" s="91"/>
      <c r="F19" s="92"/>
      <c r="G19" s="161"/>
      <c r="H19" s="162"/>
      <c r="I19" s="40"/>
      <c r="J19" s="41"/>
      <c r="K19" s="40"/>
    </row>
    <row r="20" spans="1:11" s="31" customFormat="1" ht="24" x14ac:dyDescent="0.4">
      <c r="A20" s="32"/>
      <c r="B20" s="32"/>
      <c r="C20" s="91"/>
      <c r="D20" s="91"/>
      <c r="E20" s="91"/>
      <c r="F20" s="92"/>
      <c r="G20" s="111"/>
      <c r="H20" s="109"/>
      <c r="I20" s="40"/>
      <c r="J20" s="41"/>
      <c r="K20" s="40"/>
    </row>
    <row r="21" spans="1:11" s="31" customFormat="1" ht="24" x14ac:dyDescent="0.4">
      <c r="A21" s="32"/>
      <c r="B21" s="32"/>
      <c r="C21" s="91"/>
      <c r="D21" s="91"/>
      <c r="E21" s="91"/>
      <c r="F21" s="92"/>
      <c r="G21" s="111"/>
      <c r="H21" s="109"/>
      <c r="I21" s="40"/>
      <c r="J21" s="41"/>
      <c r="K21" s="40"/>
    </row>
    <row r="22" spans="1:11" s="31" customFormat="1" ht="24" x14ac:dyDescent="0.4">
      <c r="A22" s="32"/>
      <c r="B22" s="32"/>
      <c r="C22" s="91"/>
      <c r="D22" s="91"/>
      <c r="E22" s="91"/>
      <c r="F22" s="92"/>
      <c r="G22" s="111"/>
      <c r="H22" s="109"/>
      <c r="I22" s="40"/>
      <c r="J22" s="41"/>
      <c r="K22" s="40"/>
    </row>
    <row r="23" spans="1:11" s="31" customFormat="1" ht="24" x14ac:dyDescent="0.4">
      <c r="A23" s="32"/>
      <c r="B23" s="32"/>
      <c r="C23" s="91"/>
      <c r="D23" s="91"/>
      <c r="E23" s="91"/>
      <c r="F23" s="92"/>
      <c r="G23" s="111"/>
      <c r="H23" s="109"/>
      <c r="I23" s="40"/>
      <c r="J23" s="41"/>
      <c r="K23" s="40"/>
    </row>
    <row r="24" spans="1:11" s="31" customFormat="1" ht="24" x14ac:dyDescent="0.4">
      <c r="A24" s="32"/>
      <c r="B24" s="32"/>
      <c r="C24" s="91"/>
      <c r="D24" s="91"/>
      <c r="E24" s="91"/>
      <c r="F24" s="92"/>
      <c r="G24" s="111"/>
      <c r="H24" s="109"/>
      <c r="I24" s="40"/>
      <c r="J24" s="41"/>
      <c r="K24" s="40"/>
    </row>
    <row r="25" spans="1:11" s="31" customFormat="1" ht="24" x14ac:dyDescent="0.4">
      <c r="A25" s="32"/>
      <c r="B25" s="32"/>
      <c r="C25" s="91"/>
      <c r="D25" s="91"/>
      <c r="E25" s="91"/>
      <c r="F25" s="92"/>
      <c r="G25" s="111"/>
      <c r="H25" s="109"/>
      <c r="I25" s="40"/>
      <c r="J25" s="41"/>
      <c r="K25" s="40"/>
    </row>
    <row r="26" spans="1:11" s="31" customFormat="1" ht="24" x14ac:dyDescent="0.4">
      <c r="A26" s="32"/>
      <c r="B26" s="32"/>
      <c r="C26" s="91"/>
      <c r="D26" s="91"/>
      <c r="E26" s="91"/>
      <c r="F26" s="92"/>
      <c r="G26" s="111"/>
      <c r="H26" s="109"/>
      <c r="I26" s="40"/>
      <c r="J26" s="41"/>
      <c r="K26" s="40"/>
    </row>
    <row r="27" spans="1:11" s="31" customFormat="1" ht="25" thickBot="1" x14ac:dyDescent="0.45">
      <c r="A27" s="35"/>
      <c r="B27" s="35"/>
      <c r="C27" s="114"/>
      <c r="D27" s="114"/>
      <c r="E27" s="114"/>
      <c r="F27" s="137"/>
      <c r="G27" s="115"/>
      <c r="H27" s="165"/>
      <c r="I27" s="42"/>
      <c r="J27" s="43"/>
      <c r="K27" s="42"/>
    </row>
    <row r="28" spans="1:11" ht="25" thickBot="1" x14ac:dyDescent="0.45">
      <c r="A28" s="4" t="s">
        <v>29</v>
      </c>
      <c r="C28" s="138"/>
      <c r="D28" s="138"/>
      <c r="E28" s="138"/>
      <c r="F28" s="138"/>
      <c r="G28" s="138"/>
      <c r="H28" s="139"/>
      <c r="I28" s="163" t="s">
        <v>19</v>
      </c>
      <c r="J28" s="164"/>
      <c r="K28" s="44">
        <f>SUM(K16:K27)</f>
        <v>8280</v>
      </c>
    </row>
    <row r="29" spans="1:11" ht="25" thickBot="1" x14ac:dyDescent="0.45">
      <c r="A29" s="169"/>
      <c r="B29" s="170"/>
      <c r="C29" s="170"/>
      <c r="D29" s="170"/>
      <c r="E29" s="170"/>
      <c r="F29" s="170"/>
      <c r="G29" s="170"/>
      <c r="H29" s="171"/>
      <c r="I29" s="163" t="s">
        <v>22</v>
      </c>
      <c r="J29" s="164"/>
      <c r="K29" s="44">
        <f>'ใบกำกับภาษี (Original)'!K29</f>
        <v>0</v>
      </c>
    </row>
    <row r="30" spans="1:11" ht="25" thickBot="1" x14ac:dyDescent="0.45">
      <c r="A30" s="117"/>
      <c r="B30" s="118"/>
      <c r="C30" s="118"/>
      <c r="D30" s="118"/>
      <c r="E30" s="118"/>
      <c r="F30" s="118"/>
      <c r="G30" s="118"/>
      <c r="H30" s="119"/>
      <c r="I30" s="163" t="s">
        <v>20</v>
      </c>
      <c r="J30" s="164"/>
      <c r="K30" s="44">
        <f>K28-K29</f>
        <v>8280</v>
      </c>
    </row>
    <row r="31" spans="1:11" ht="25" thickBot="1" x14ac:dyDescent="0.45">
      <c r="A31" s="143"/>
      <c r="B31" s="123"/>
      <c r="C31" s="123"/>
      <c r="D31" s="123"/>
      <c r="E31" s="123"/>
      <c r="F31" s="123"/>
      <c r="G31" s="123"/>
      <c r="H31" s="124"/>
      <c r="I31" s="163" t="s">
        <v>70</v>
      </c>
      <c r="J31" s="164"/>
      <c r="K31" s="44">
        <f>K30*7/100</f>
        <v>579.6</v>
      </c>
    </row>
    <row r="32" spans="1:11" ht="21.75" customHeight="1" thickBot="1" x14ac:dyDescent="0.45">
      <c r="A32" s="125" t="str">
        <f>"("&amp;BAHTTEXT(K32)&amp;")"</f>
        <v>(แปดพันแปดร้อยห้าสิบเก้าบาทหกสิบสตางค์)</v>
      </c>
      <c r="B32" s="126"/>
      <c r="C32" s="126"/>
      <c r="D32" s="126"/>
      <c r="E32" s="126"/>
      <c r="F32" s="126"/>
      <c r="G32" s="126"/>
      <c r="H32" s="127"/>
      <c r="I32" s="163" t="s">
        <v>21</v>
      </c>
      <c r="J32" s="164"/>
      <c r="K32" s="44">
        <f>K30+K31</f>
        <v>8859.6</v>
      </c>
    </row>
    <row r="33" spans="1:11" ht="21.75" customHeight="1" thickBot="1" x14ac:dyDescent="0.4">
      <c r="A33" s="8" t="s">
        <v>30</v>
      </c>
      <c r="K33" s="9"/>
    </row>
    <row r="34" spans="1:11" x14ac:dyDescent="0.35">
      <c r="A34" s="12"/>
      <c r="B34" s="5"/>
      <c r="C34" s="7"/>
      <c r="E34" s="12"/>
      <c r="F34" s="5"/>
      <c r="G34" s="5"/>
      <c r="H34" s="5"/>
      <c r="I34" s="7"/>
      <c r="J34" s="22" t="s">
        <v>31</v>
      </c>
      <c r="K34" s="15"/>
    </row>
    <row r="35" spans="1:11" x14ac:dyDescent="0.35">
      <c r="A35" s="10"/>
      <c r="C35" s="9"/>
      <c r="E35" s="10"/>
      <c r="I35" s="9"/>
      <c r="J35" s="22" t="s">
        <v>28</v>
      </c>
      <c r="K35" s="15"/>
    </row>
    <row r="36" spans="1:11" x14ac:dyDescent="0.35">
      <c r="A36" s="8" t="s">
        <v>24</v>
      </c>
      <c r="B36" s="2" t="s">
        <v>26</v>
      </c>
      <c r="C36" s="9"/>
      <c r="E36" s="142" t="s">
        <v>27</v>
      </c>
      <c r="F36" s="128"/>
      <c r="G36" s="128"/>
      <c r="H36" s="128"/>
      <c r="I36" s="129"/>
      <c r="J36" s="22" t="s">
        <v>32</v>
      </c>
      <c r="K36" s="15"/>
    </row>
    <row r="37" spans="1:11" ht="12" customHeight="1" x14ac:dyDescent="0.35">
      <c r="A37" s="8"/>
      <c r="B37" s="2"/>
      <c r="C37" s="15"/>
      <c r="D37" s="2"/>
      <c r="E37" s="10"/>
      <c r="I37" s="9"/>
      <c r="J37" s="22"/>
      <c r="K37" s="15"/>
    </row>
    <row r="38" spans="1:11" x14ac:dyDescent="0.35">
      <c r="A38" s="8"/>
      <c r="B38" s="2" t="s">
        <v>25</v>
      </c>
      <c r="C38" s="15"/>
      <c r="D38" s="2"/>
      <c r="E38" s="142" t="str">
        <f>'ใบกำกับภาษี (Original)'!E38</f>
        <v>( นายสันติ เหล่าสุโพธิ์ )</v>
      </c>
      <c r="F38" s="128"/>
      <c r="G38" s="128"/>
      <c r="H38" s="128"/>
      <c r="I38" s="129"/>
      <c r="J38" s="22" t="s">
        <v>33</v>
      </c>
      <c r="K38" s="15"/>
    </row>
    <row r="39" spans="1:11" x14ac:dyDescent="0.35">
      <c r="A39" s="8"/>
      <c r="B39" s="120" t="s">
        <v>38</v>
      </c>
      <c r="C39" s="121"/>
      <c r="D39" s="16"/>
      <c r="E39" s="142" t="s">
        <v>23</v>
      </c>
      <c r="F39" s="128"/>
      <c r="G39" s="128"/>
      <c r="H39" s="128"/>
      <c r="I39" s="129"/>
      <c r="J39" s="22" t="s">
        <v>34</v>
      </c>
      <c r="K39" s="15"/>
    </row>
    <row r="40" spans="1:11" ht="22" thickBot="1" x14ac:dyDescent="0.4">
      <c r="A40" s="11" t="s">
        <v>16</v>
      </c>
      <c r="B40" s="122"/>
      <c r="C40" s="107"/>
      <c r="D40" s="17"/>
      <c r="E40" s="11" t="s">
        <v>16</v>
      </c>
      <c r="F40" s="123"/>
      <c r="G40" s="123"/>
      <c r="H40" s="123"/>
      <c r="I40" s="124"/>
      <c r="J40" s="23" t="s">
        <v>35</v>
      </c>
      <c r="K40" s="21"/>
    </row>
  </sheetData>
  <mergeCells count="56">
    <mergeCell ref="B8:F8"/>
    <mergeCell ref="J8:K8"/>
    <mergeCell ref="B9:F9"/>
    <mergeCell ref="I9:K9"/>
    <mergeCell ref="B10:F10"/>
    <mergeCell ref="I10:K10"/>
    <mergeCell ref="I11:K11"/>
    <mergeCell ref="B12:F12"/>
    <mergeCell ref="G12:K12"/>
    <mergeCell ref="A14:A15"/>
    <mergeCell ref="B14:F14"/>
    <mergeCell ref="G14:I14"/>
    <mergeCell ref="J14:K14"/>
    <mergeCell ref="B15:F15"/>
    <mergeCell ref="G15:I15"/>
    <mergeCell ref="J15:K15"/>
    <mergeCell ref="B16:F16"/>
    <mergeCell ref="G16:H16"/>
    <mergeCell ref="B17:F17"/>
    <mergeCell ref="G17:H17"/>
    <mergeCell ref="G18:H18"/>
    <mergeCell ref="B18:F18"/>
    <mergeCell ref="G19:H19"/>
    <mergeCell ref="C20:F20"/>
    <mergeCell ref="G20:H20"/>
    <mergeCell ref="C21:F21"/>
    <mergeCell ref="G21:H21"/>
    <mergeCell ref="B19:F19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8:H28"/>
    <mergeCell ref="I28:J28"/>
    <mergeCell ref="A29:H29"/>
    <mergeCell ref="I29:J29"/>
    <mergeCell ref="A30:H30"/>
    <mergeCell ref="I30:J30"/>
    <mergeCell ref="B39:C39"/>
    <mergeCell ref="E39:I39"/>
    <mergeCell ref="B40:C40"/>
    <mergeCell ref="F40:I40"/>
    <mergeCell ref="A31:H31"/>
    <mergeCell ref="I31:J31"/>
    <mergeCell ref="A32:H32"/>
    <mergeCell ref="I32:J32"/>
    <mergeCell ref="E36:I36"/>
    <mergeCell ref="E38:I38"/>
  </mergeCells>
  <pageMargins left="0.63" right="0.39370078740157483" top="0.31496062992125984" bottom="0.31496062992125984" header="0.31496062992125984" footer="0.31496062992125984"/>
  <pageSetup paperSize="9" scale="9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0"/>
  <sheetViews>
    <sheetView workbookViewId="0">
      <selection activeCell="J5" sqref="J5:K5"/>
    </sheetView>
  </sheetViews>
  <sheetFormatPr baseColWidth="10" defaultColWidth="9" defaultRowHeight="21" x14ac:dyDescent="0.35"/>
  <cols>
    <col min="1" max="1" width="7.1640625" style="1" customWidth="1"/>
    <col min="2" max="2" width="13.5" style="1" customWidth="1"/>
    <col min="3" max="3" width="17.83203125" style="1" customWidth="1"/>
    <col min="4" max="4" width="0.6640625" style="1" customWidth="1"/>
    <col min="5" max="5" width="7.33203125" style="1" customWidth="1"/>
    <col min="6" max="6" width="7.6640625" style="1" customWidth="1"/>
    <col min="7" max="7" width="9.1640625" style="1" customWidth="1"/>
    <col min="8" max="8" width="1.6640625" style="1" customWidth="1"/>
    <col min="9" max="9" width="6.6640625" style="1" customWidth="1"/>
    <col min="10" max="10" width="9.1640625" style="1" customWidth="1"/>
    <col min="11" max="11" width="13.6640625" style="1" customWidth="1"/>
    <col min="12" max="16384" width="9" style="1"/>
  </cols>
  <sheetData>
    <row r="1" spans="1:11" ht="29" x14ac:dyDescent="0.45">
      <c r="A1" s="25" t="str">
        <f>'ใบกำกับภาษี (Original)'!A1</f>
        <v>บริษัท เพาเวอร์ คลีน พลัส จำกัด สำนักงานใหญ่</v>
      </c>
    </row>
    <row r="2" spans="1:11" ht="24" x14ac:dyDescent="0.4">
      <c r="A2" s="26" t="str">
        <f>'ใบกำกับภาษี (Original)'!A2</f>
        <v>POWER CLEAN PLUS Co., LTD.</v>
      </c>
    </row>
    <row r="3" spans="1:11" ht="24" x14ac:dyDescent="0.4">
      <c r="A3" s="26" t="str">
        <f>'ใบกำกับภาษี (Original)'!A3</f>
        <v>เลขที่ 250/65 ม.5 ต.เมืองเก่า อ.เมืองขอนแก่น จ.ขอนแก่น 40000</v>
      </c>
    </row>
    <row r="4" spans="1:11" ht="25" thickBot="1" x14ac:dyDescent="0.45">
      <c r="A4" s="26" t="str">
        <f>'ใบกำกับภาษี (Original)'!A4</f>
        <v>TEL. 061-6956633 , 062-7969847</v>
      </c>
    </row>
    <row r="5" spans="1:11" ht="25" thickBot="1" x14ac:dyDescent="0.45">
      <c r="A5" s="26" t="str">
        <f>'ใบกำกับภาษี (Original)'!A5</f>
        <v>เลขประจำตัวผู้เสียภาษี 0405562003569</v>
      </c>
      <c r="I5" s="13" t="s">
        <v>36</v>
      </c>
      <c r="J5" s="76"/>
      <c r="K5" s="24"/>
    </row>
    <row r="6" spans="1:11" ht="25" thickBot="1" x14ac:dyDescent="0.45">
      <c r="I6" s="13" t="s">
        <v>37</v>
      </c>
      <c r="J6" s="85" t="s">
        <v>106</v>
      </c>
      <c r="K6" s="24"/>
    </row>
    <row r="7" spans="1:11" ht="3.75" customHeight="1" thickBot="1" x14ac:dyDescent="0.4">
      <c r="A7" s="45"/>
      <c r="I7" s="2"/>
      <c r="J7" s="3"/>
      <c r="K7" s="14"/>
    </row>
    <row r="8" spans="1:11" ht="28.5" customHeight="1" x14ac:dyDescent="0.4">
      <c r="A8" s="4" t="s">
        <v>0</v>
      </c>
      <c r="B8" s="89" t="str">
        <f>'ใบกำกับภาษี (Original)'!B8</f>
        <v>บริษัท เจียงออโตโมทีฟอุดร จำกัด สาขาหนองสำโรง (0000)</v>
      </c>
      <c r="C8" s="89"/>
      <c r="D8" s="89"/>
      <c r="E8" s="89"/>
      <c r="F8" s="90"/>
      <c r="G8" s="6" t="s">
        <v>78</v>
      </c>
      <c r="H8" s="6"/>
      <c r="I8" s="48"/>
      <c r="J8" s="93" t="s">
        <v>105</v>
      </c>
      <c r="K8" s="94"/>
    </row>
    <row r="9" spans="1:11" ht="24" x14ac:dyDescent="0.4">
      <c r="A9" s="8" t="s">
        <v>1</v>
      </c>
      <c r="B9" s="91" t="str">
        <f>'ใบกำกับภาษี (Original)'!B9</f>
        <v>0105546133987</v>
      </c>
      <c r="C9" s="91"/>
      <c r="D9" s="91"/>
      <c r="E9" s="91"/>
      <c r="F9" s="92"/>
      <c r="G9" s="8"/>
      <c r="H9" s="2"/>
      <c r="I9" s="91" t="s">
        <v>75</v>
      </c>
      <c r="J9" s="91"/>
      <c r="K9" s="92"/>
    </row>
    <row r="10" spans="1:11" ht="24" x14ac:dyDescent="0.4">
      <c r="A10" s="8" t="s">
        <v>2</v>
      </c>
      <c r="B10" s="91" t="str">
        <f>'ใบกำกับภาษี (Original)'!B10</f>
        <v>555 หมู่ 7 บ้านโนนพิบูลย์ ต.หมากแข้ง อ.เมืองอุดรธานี จ.อุดรธานี</v>
      </c>
      <c r="C10" s="91"/>
      <c r="D10" s="91"/>
      <c r="E10" s="91"/>
      <c r="F10" s="92"/>
      <c r="G10" s="8"/>
      <c r="H10" s="2"/>
      <c r="I10" s="91" t="s">
        <v>107</v>
      </c>
      <c r="J10" s="91"/>
      <c r="K10" s="92"/>
    </row>
    <row r="11" spans="1:11" ht="24" x14ac:dyDescent="0.4">
      <c r="A11" s="10"/>
      <c r="B11" s="77">
        <f>'ใบกำกับภาษี (Original)'!B11</f>
        <v>41000</v>
      </c>
      <c r="C11" s="46"/>
      <c r="D11" s="46"/>
      <c r="E11" s="46"/>
      <c r="F11" s="47"/>
      <c r="G11" s="8"/>
      <c r="I11" s="156" t="s">
        <v>77</v>
      </c>
      <c r="J11" s="156"/>
      <c r="K11" s="157"/>
    </row>
    <row r="12" spans="1:11" ht="25" thickBot="1" x14ac:dyDescent="0.45">
      <c r="A12" s="11" t="s">
        <v>3</v>
      </c>
      <c r="B12" s="97"/>
      <c r="C12" s="97"/>
      <c r="D12" s="97"/>
      <c r="E12" s="97"/>
      <c r="F12" s="155"/>
      <c r="G12" s="149"/>
      <c r="H12" s="98"/>
      <c r="I12" s="98"/>
      <c r="J12" s="98"/>
      <c r="K12" s="99"/>
    </row>
    <row r="13" spans="1:11" ht="4.5" customHeight="1" thickBot="1" x14ac:dyDescent="0.4">
      <c r="A13" s="2"/>
    </row>
    <row r="14" spans="1:11" x14ac:dyDescent="0.35">
      <c r="A14" s="100" t="s">
        <v>4</v>
      </c>
      <c r="B14" s="103" t="s">
        <v>6</v>
      </c>
      <c r="C14" s="158"/>
      <c r="D14" s="158"/>
      <c r="E14" s="158"/>
      <c r="F14" s="104"/>
      <c r="G14" s="103" t="s">
        <v>7</v>
      </c>
      <c r="H14" s="158"/>
      <c r="I14" s="104"/>
      <c r="J14" s="103" t="s">
        <v>9</v>
      </c>
      <c r="K14" s="104"/>
    </row>
    <row r="15" spans="1:11" ht="22" thickBot="1" x14ac:dyDescent="0.4">
      <c r="A15" s="101"/>
      <c r="B15" s="106" t="s">
        <v>11</v>
      </c>
      <c r="C15" s="122"/>
      <c r="D15" s="122"/>
      <c r="E15" s="122"/>
      <c r="F15" s="107"/>
      <c r="G15" s="106" t="s">
        <v>12</v>
      </c>
      <c r="H15" s="122"/>
      <c r="I15" s="107"/>
      <c r="J15" s="106" t="s">
        <v>14</v>
      </c>
      <c r="K15" s="107"/>
    </row>
    <row r="16" spans="1:11" s="31" customFormat="1" ht="24" x14ac:dyDescent="0.4">
      <c r="A16" s="28" t="e">
        <f>'[1]ใบกำกับภาษี (Original)'!A16</f>
        <v>#REF!</v>
      </c>
      <c r="B16" s="166" t="s">
        <v>103</v>
      </c>
      <c r="C16" s="167"/>
      <c r="D16" s="167"/>
      <c r="E16" s="167"/>
      <c r="F16" s="168"/>
      <c r="G16" s="159">
        <v>12</v>
      </c>
      <c r="H16" s="160"/>
      <c r="I16" s="38"/>
      <c r="J16" s="39"/>
      <c r="K16" s="38">
        <v>4800</v>
      </c>
    </row>
    <row r="17" spans="1:11" s="31" customFormat="1" ht="24" x14ac:dyDescent="0.4">
      <c r="A17" s="32">
        <v>2</v>
      </c>
      <c r="B17" s="110" t="s">
        <v>104</v>
      </c>
      <c r="C17" s="91"/>
      <c r="D17" s="91"/>
      <c r="E17" s="91"/>
      <c r="F17" s="92"/>
      <c r="G17" s="161">
        <v>12</v>
      </c>
      <c r="H17" s="162"/>
      <c r="I17" s="40"/>
      <c r="J17" s="41"/>
      <c r="K17" s="40">
        <v>3480</v>
      </c>
    </row>
    <row r="18" spans="1:11" s="31" customFormat="1" ht="24" x14ac:dyDescent="0.4">
      <c r="A18" s="32"/>
      <c r="B18" s="110"/>
      <c r="C18" s="91"/>
      <c r="D18" s="91"/>
      <c r="E18" s="91"/>
      <c r="F18" s="92"/>
      <c r="G18" s="161"/>
      <c r="H18" s="162"/>
      <c r="I18" s="40"/>
      <c r="J18" s="41"/>
      <c r="K18" s="40"/>
    </row>
    <row r="19" spans="1:11" s="31" customFormat="1" ht="24" x14ac:dyDescent="0.4">
      <c r="A19" s="32"/>
      <c r="B19" s="110"/>
      <c r="C19" s="91"/>
      <c r="D19" s="91"/>
      <c r="E19" s="91"/>
      <c r="F19" s="92"/>
      <c r="G19" s="161"/>
      <c r="H19" s="162"/>
      <c r="I19" s="40"/>
      <c r="J19" s="41"/>
      <c r="K19" s="40"/>
    </row>
    <row r="20" spans="1:11" s="31" customFormat="1" ht="24" x14ac:dyDescent="0.4">
      <c r="A20" s="32"/>
      <c r="B20" s="32"/>
      <c r="C20" s="91"/>
      <c r="D20" s="91"/>
      <c r="E20" s="91"/>
      <c r="F20" s="92"/>
      <c r="G20" s="111"/>
      <c r="H20" s="109"/>
      <c r="I20" s="40"/>
      <c r="J20" s="41"/>
      <c r="K20" s="40"/>
    </row>
    <row r="21" spans="1:11" s="31" customFormat="1" ht="24" x14ac:dyDescent="0.4">
      <c r="A21" s="32"/>
      <c r="B21" s="32"/>
      <c r="C21" s="91"/>
      <c r="D21" s="91"/>
      <c r="E21" s="91"/>
      <c r="F21" s="92"/>
      <c r="G21" s="111"/>
      <c r="H21" s="109"/>
      <c r="I21" s="40"/>
      <c r="J21" s="41"/>
      <c r="K21" s="40"/>
    </row>
    <row r="22" spans="1:11" s="31" customFormat="1" ht="24" x14ac:dyDescent="0.4">
      <c r="A22" s="32"/>
      <c r="B22" s="32"/>
      <c r="C22" s="91"/>
      <c r="D22" s="91"/>
      <c r="E22" s="91"/>
      <c r="F22" s="92"/>
      <c r="G22" s="111"/>
      <c r="H22" s="109"/>
      <c r="I22" s="40"/>
      <c r="J22" s="41"/>
      <c r="K22" s="40"/>
    </row>
    <row r="23" spans="1:11" s="31" customFormat="1" ht="24" x14ac:dyDescent="0.4">
      <c r="A23" s="32"/>
      <c r="B23" s="32"/>
      <c r="C23" s="91"/>
      <c r="D23" s="91"/>
      <c r="E23" s="91"/>
      <c r="F23" s="92"/>
      <c r="G23" s="111"/>
      <c r="H23" s="109"/>
      <c r="I23" s="40"/>
      <c r="J23" s="41"/>
      <c r="K23" s="40"/>
    </row>
    <row r="24" spans="1:11" s="31" customFormat="1" ht="24" x14ac:dyDescent="0.4">
      <c r="A24" s="32"/>
      <c r="B24" s="32"/>
      <c r="C24" s="91"/>
      <c r="D24" s="91"/>
      <c r="E24" s="91"/>
      <c r="F24" s="92"/>
      <c r="G24" s="111"/>
      <c r="H24" s="109"/>
      <c r="I24" s="40"/>
      <c r="J24" s="41"/>
      <c r="K24" s="40"/>
    </row>
    <row r="25" spans="1:11" s="31" customFormat="1" ht="24" x14ac:dyDescent="0.4">
      <c r="A25" s="32"/>
      <c r="B25" s="32"/>
      <c r="C25" s="91"/>
      <c r="D25" s="91"/>
      <c r="E25" s="91"/>
      <c r="F25" s="92"/>
      <c r="G25" s="111"/>
      <c r="H25" s="109"/>
      <c r="I25" s="40"/>
      <c r="J25" s="41"/>
      <c r="K25" s="40"/>
    </row>
    <row r="26" spans="1:11" s="31" customFormat="1" ht="24" x14ac:dyDescent="0.4">
      <c r="A26" s="32"/>
      <c r="B26" s="32"/>
      <c r="C26" s="91"/>
      <c r="D26" s="91"/>
      <c r="E26" s="91"/>
      <c r="F26" s="92"/>
      <c r="G26" s="111"/>
      <c r="H26" s="109"/>
      <c r="I26" s="40"/>
      <c r="J26" s="41"/>
      <c r="K26" s="40"/>
    </row>
    <row r="27" spans="1:11" s="31" customFormat="1" ht="25" thickBot="1" x14ac:dyDescent="0.45">
      <c r="A27" s="35"/>
      <c r="B27" s="35"/>
      <c r="C27" s="114"/>
      <c r="D27" s="114"/>
      <c r="E27" s="114"/>
      <c r="F27" s="137"/>
      <c r="G27" s="115"/>
      <c r="H27" s="165"/>
      <c r="I27" s="42"/>
      <c r="J27" s="43"/>
      <c r="K27" s="42"/>
    </row>
    <row r="28" spans="1:11" ht="25" thickBot="1" x14ac:dyDescent="0.45">
      <c r="A28" s="4" t="s">
        <v>29</v>
      </c>
      <c r="C28" s="138"/>
      <c r="D28" s="138"/>
      <c r="E28" s="138"/>
      <c r="F28" s="138"/>
      <c r="G28" s="138"/>
      <c r="H28" s="139"/>
      <c r="I28" s="163" t="s">
        <v>19</v>
      </c>
      <c r="J28" s="164"/>
      <c r="K28" s="44">
        <f>SUM(K16:K27)</f>
        <v>8280</v>
      </c>
    </row>
    <row r="29" spans="1:11" ht="25" thickBot="1" x14ac:dyDescent="0.45">
      <c r="A29" s="169"/>
      <c r="B29" s="170"/>
      <c r="C29" s="170"/>
      <c r="D29" s="170"/>
      <c r="E29" s="170"/>
      <c r="F29" s="170"/>
      <c r="G29" s="170"/>
      <c r="H29" s="171"/>
      <c r="I29" s="163" t="s">
        <v>22</v>
      </c>
      <c r="J29" s="164"/>
      <c r="K29" s="44">
        <f>'ใบกำกับภาษี (Original)'!K29</f>
        <v>0</v>
      </c>
    </row>
    <row r="30" spans="1:11" ht="25" thickBot="1" x14ac:dyDescent="0.45">
      <c r="A30" s="117"/>
      <c r="B30" s="118"/>
      <c r="C30" s="118"/>
      <c r="D30" s="118"/>
      <c r="E30" s="118"/>
      <c r="F30" s="118"/>
      <c r="G30" s="118"/>
      <c r="H30" s="119"/>
      <c r="I30" s="163" t="s">
        <v>20</v>
      </c>
      <c r="J30" s="164"/>
      <c r="K30" s="44">
        <f>K28-K29</f>
        <v>8280</v>
      </c>
    </row>
    <row r="31" spans="1:11" ht="25" thickBot="1" x14ac:dyDescent="0.45">
      <c r="A31" s="143"/>
      <c r="B31" s="123"/>
      <c r="C31" s="123"/>
      <c r="D31" s="123"/>
      <c r="E31" s="123"/>
      <c r="F31" s="123"/>
      <c r="G31" s="123"/>
      <c r="H31" s="124"/>
      <c r="I31" s="163" t="s">
        <v>70</v>
      </c>
      <c r="J31" s="164"/>
      <c r="K31" s="44">
        <f>K30*7/100</f>
        <v>579.6</v>
      </c>
    </row>
    <row r="32" spans="1:11" ht="21.75" customHeight="1" thickBot="1" x14ac:dyDescent="0.45">
      <c r="A32" s="125" t="str">
        <f>"("&amp;BAHTTEXT(K32)&amp;")"</f>
        <v>(แปดพันแปดร้อยห้าสิบเก้าบาทหกสิบสตางค์)</v>
      </c>
      <c r="B32" s="126"/>
      <c r="C32" s="126"/>
      <c r="D32" s="126"/>
      <c r="E32" s="126"/>
      <c r="F32" s="126"/>
      <c r="G32" s="126"/>
      <c r="H32" s="127"/>
      <c r="I32" s="163" t="s">
        <v>21</v>
      </c>
      <c r="J32" s="164"/>
      <c r="K32" s="44">
        <f>K30+K31</f>
        <v>8859.6</v>
      </c>
    </row>
    <row r="33" spans="1:11" ht="21.75" customHeight="1" thickBot="1" x14ac:dyDescent="0.4">
      <c r="A33" s="8" t="s">
        <v>30</v>
      </c>
      <c r="K33" s="9"/>
    </row>
    <row r="34" spans="1:11" x14ac:dyDescent="0.35">
      <c r="A34" s="12"/>
      <c r="B34" s="5"/>
      <c r="C34" s="7"/>
      <c r="E34" s="12"/>
      <c r="F34" s="5"/>
      <c r="G34" s="5"/>
      <c r="H34" s="5"/>
      <c r="I34" s="7"/>
      <c r="J34" s="22" t="s">
        <v>31</v>
      </c>
      <c r="K34" s="15"/>
    </row>
    <row r="35" spans="1:11" x14ac:dyDescent="0.35">
      <c r="A35" s="10"/>
      <c r="C35" s="9"/>
      <c r="E35" s="10"/>
      <c r="I35" s="9"/>
      <c r="J35" s="22" t="s">
        <v>28</v>
      </c>
      <c r="K35" s="15"/>
    </row>
    <row r="36" spans="1:11" x14ac:dyDescent="0.35">
      <c r="A36" s="8" t="s">
        <v>24</v>
      </c>
      <c r="B36" s="2" t="s">
        <v>26</v>
      </c>
      <c r="C36" s="9"/>
      <c r="E36" s="142" t="s">
        <v>27</v>
      </c>
      <c r="F36" s="128"/>
      <c r="G36" s="128"/>
      <c r="H36" s="128"/>
      <c r="I36" s="129"/>
      <c r="J36" s="22" t="s">
        <v>32</v>
      </c>
      <c r="K36" s="15"/>
    </row>
    <row r="37" spans="1:11" ht="12" customHeight="1" x14ac:dyDescent="0.35">
      <c r="A37" s="8"/>
      <c r="B37" s="2"/>
      <c r="C37" s="15"/>
      <c r="D37" s="2"/>
      <c r="E37" s="10"/>
      <c r="I37" s="9"/>
      <c r="J37" s="22"/>
      <c r="K37" s="15"/>
    </row>
    <row r="38" spans="1:11" x14ac:dyDescent="0.35">
      <c r="A38" s="8"/>
      <c r="B38" s="2" t="s">
        <v>25</v>
      </c>
      <c r="C38" s="15"/>
      <c r="D38" s="2"/>
      <c r="E38" s="142" t="str">
        <f>'ใบกำกับภาษี (Original)'!E38</f>
        <v>( นายสันติ เหล่าสุโพธิ์ )</v>
      </c>
      <c r="F38" s="128"/>
      <c r="G38" s="128"/>
      <c r="H38" s="128"/>
      <c r="I38" s="129"/>
      <c r="J38" s="22" t="s">
        <v>33</v>
      </c>
      <c r="K38" s="15"/>
    </row>
    <row r="39" spans="1:11" x14ac:dyDescent="0.35">
      <c r="A39" s="8"/>
      <c r="B39" s="120" t="s">
        <v>38</v>
      </c>
      <c r="C39" s="121"/>
      <c r="D39" s="16"/>
      <c r="E39" s="142" t="s">
        <v>23</v>
      </c>
      <c r="F39" s="128"/>
      <c r="G39" s="128"/>
      <c r="H39" s="128"/>
      <c r="I39" s="129"/>
      <c r="J39" s="22" t="s">
        <v>34</v>
      </c>
      <c r="K39" s="15"/>
    </row>
    <row r="40" spans="1:11" ht="22" thickBot="1" x14ac:dyDescent="0.4">
      <c r="A40" s="11" t="s">
        <v>16</v>
      </c>
      <c r="B40" s="122"/>
      <c r="C40" s="107"/>
      <c r="D40" s="17"/>
      <c r="E40" s="11" t="s">
        <v>16</v>
      </c>
      <c r="F40" s="123"/>
      <c r="G40" s="123"/>
      <c r="H40" s="123"/>
      <c r="I40" s="124"/>
      <c r="J40" s="23" t="s">
        <v>35</v>
      </c>
      <c r="K40" s="21"/>
    </row>
  </sheetData>
  <mergeCells count="56">
    <mergeCell ref="B8:F8"/>
    <mergeCell ref="J8:K8"/>
    <mergeCell ref="B9:F9"/>
    <mergeCell ref="I9:K9"/>
    <mergeCell ref="B10:F10"/>
    <mergeCell ref="I10:K10"/>
    <mergeCell ref="I11:K11"/>
    <mergeCell ref="B12:F12"/>
    <mergeCell ref="G12:K12"/>
    <mergeCell ref="A14:A15"/>
    <mergeCell ref="B14:F14"/>
    <mergeCell ref="G14:I14"/>
    <mergeCell ref="J14:K14"/>
    <mergeCell ref="B15:F15"/>
    <mergeCell ref="G15:I15"/>
    <mergeCell ref="J15:K15"/>
    <mergeCell ref="B16:F16"/>
    <mergeCell ref="G16:H16"/>
    <mergeCell ref="B17:F17"/>
    <mergeCell ref="G17:H17"/>
    <mergeCell ref="G18:H18"/>
    <mergeCell ref="B18:F18"/>
    <mergeCell ref="G19:H19"/>
    <mergeCell ref="C20:F20"/>
    <mergeCell ref="G20:H20"/>
    <mergeCell ref="C21:F21"/>
    <mergeCell ref="G21:H21"/>
    <mergeCell ref="B19:F19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8:H28"/>
    <mergeCell ref="I28:J28"/>
    <mergeCell ref="A29:H29"/>
    <mergeCell ref="I29:J29"/>
    <mergeCell ref="A30:H30"/>
    <mergeCell ref="I30:J30"/>
    <mergeCell ref="B39:C39"/>
    <mergeCell ref="E39:I39"/>
    <mergeCell ref="B40:C40"/>
    <mergeCell ref="F40:I40"/>
    <mergeCell ref="A31:H31"/>
    <mergeCell ref="I31:J31"/>
    <mergeCell ref="A32:H32"/>
    <mergeCell ref="I32:J32"/>
    <mergeCell ref="E36:I36"/>
    <mergeCell ref="E38:I38"/>
  </mergeCells>
  <pageMargins left="0.63" right="0.39370078740157483" top="0.31496062992125984" bottom="0.31496062992125984" header="0.31496062992125984" footer="0.31496062992125984"/>
  <pageSetup paperSize="9" scale="90" orientation="portrait" r:id="rId1"/>
  <ignoredErrors>
    <ignoredError sqref="A16:K19" evalError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M38"/>
  <sheetViews>
    <sheetView workbookViewId="0">
      <selection activeCell="J5" sqref="J5:K6"/>
    </sheetView>
  </sheetViews>
  <sheetFormatPr baseColWidth="10" defaultColWidth="9" defaultRowHeight="21" x14ac:dyDescent="0.35"/>
  <cols>
    <col min="1" max="1" width="7.1640625" style="1" customWidth="1"/>
    <col min="2" max="2" width="10" style="1" customWidth="1"/>
    <col min="3" max="3" width="17.83203125" style="1" customWidth="1"/>
    <col min="4" max="4" width="0.6640625" style="1" customWidth="1"/>
    <col min="5" max="5" width="7.33203125" style="1" customWidth="1"/>
    <col min="6" max="6" width="7.6640625" style="1" customWidth="1"/>
    <col min="7" max="7" width="9.1640625" style="1" customWidth="1"/>
    <col min="8" max="8" width="1.6640625" style="1" customWidth="1"/>
    <col min="9" max="9" width="9.33203125" style="1" customWidth="1"/>
    <col min="10" max="10" width="9.1640625" style="1" customWidth="1"/>
    <col min="11" max="11" width="13.6640625" style="1" customWidth="1"/>
    <col min="12" max="16384" width="9" style="1"/>
  </cols>
  <sheetData>
    <row r="1" spans="1:11" ht="29" x14ac:dyDescent="0.45">
      <c r="A1" s="25" t="s">
        <v>45</v>
      </c>
    </row>
    <row r="2" spans="1:11" ht="24" x14ac:dyDescent="0.4">
      <c r="A2" s="26" t="s">
        <v>42</v>
      </c>
    </row>
    <row r="3" spans="1:11" ht="24" x14ac:dyDescent="0.4">
      <c r="A3" s="26" t="s">
        <v>46</v>
      </c>
    </row>
    <row r="4" spans="1:11" ht="25" thickBot="1" x14ac:dyDescent="0.45">
      <c r="A4" s="26" t="s">
        <v>48</v>
      </c>
    </row>
    <row r="5" spans="1:11" ht="25" thickBot="1" x14ac:dyDescent="0.45">
      <c r="A5" s="26" t="s">
        <v>47</v>
      </c>
      <c r="I5" s="13" t="s">
        <v>36</v>
      </c>
      <c r="J5" s="172"/>
      <c r="K5" s="173"/>
    </row>
    <row r="6" spans="1:11" ht="22" thickBot="1" x14ac:dyDescent="0.4">
      <c r="I6" s="13" t="s">
        <v>37</v>
      </c>
      <c r="J6" s="66"/>
      <c r="K6" s="24"/>
    </row>
    <row r="7" spans="1:11" ht="3.75" customHeight="1" thickBot="1" x14ac:dyDescent="0.4">
      <c r="A7" s="10"/>
      <c r="I7" s="2"/>
      <c r="J7" s="3"/>
      <c r="K7" s="14"/>
    </row>
    <row r="8" spans="1:11" ht="28.5" customHeight="1" thickBot="1" x14ac:dyDescent="0.4">
      <c r="A8" s="4" t="s">
        <v>0</v>
      </c>
      <c r="B8" s="150"/>
      <c r="C8" s="150"/>
      <c r="D8" s="150"/>
      <c r="E8" s="150"/>
      <c r="F8" s="151"/>
      <c r="G8" s="65" t="s">
        <v>57</v>
      </c>
      <c r="H8" s="67"/>
      <c r="I8" s="68"/>
      <c r="J8" s="172" t="s">
        <v>92</v>
      </c>
      <c r="K8" s="173"/>
    </row>
    <row r="9" spans="1:11" x14ac:dyDescent="0.35">
      <c r="A9" s="8" t="s">
        <v>1</v>
      </c>
      <c r="B9" s="174"/>
      <c r="C9" s="175"/>
      <c r="D9" s="175"/>
      <c r="E9" s="175"/>
      <c r="F9" s="176"/>
      <c r="G9" s="2" t="s">
        <v>16</v>
      </c>
      <c r="H9" s="2"/>
      <c r="I9" s="177">
        <v>43790</v>
      </c>
      <c r="J9" s="178"/>
      <c r="K9" s="179"/>
    </row>
    <row r="10" spans="1:11" x14ac:dyDescent="0.35">
      <c r="A10" s="8" t="s">
        <v>2</v>
      </c>
      <c r="B10" s="178"/>
      <c r="C10" s="178"/>
      <c r="D10" s="178"/>
      <c r="E10" s="178"/>
      <c r="F10" s="179"/>
      <c r="G10" s="55" t="s">
        <v>58</v>
      </c>
      <c r="H10" s="2"/>
      <c r="I10" s="180" t="s">
        <v>59</v>
      </c>
      <c r="J10" s="178"/>
      <c r="K10" s="179"/>
    </row>
    <row r="11" spans="1:11" x14ac:dyDescent="0.35">
      <c r="A11" s="10"/>
      <c r="F11" s="9"/>
      <c r="G11" s="2"/>
      <c r="K11" s="9"/>
    </row>
    <row r="12" spans="1:11" ht="22" thickBot="1" x14ac:dyDescent="0.4">
      <c r="A12" s="11" t="s">
        <v>3</v>
      </c>
      <c r="B12" s="98"/>
      <c r="C12" s="98"/>
      <c r="D12" s="98"/>
      <c r="E12" s="98"/>
      <c r="F12" s="99"/>
      <c r="G12" s="149"/>
      <c r="H12" s="98"/>
      <c r="I12" s="98"/>
      <c r="J12" s="98"/>
      <c r="K12" s="99"/>
    </row>
    <row r="13" spans="1:11" ht="4.5" customHeight="1" thickBot="1" x14ac:dyDescent="0.4">
      <c r="A13" s="2"/>
      <c r="B13" s="1" t="s">
        <v>94</v>
      </c>
    </row>
    <row r="14" spans="1:11" x14ac:dyDescent="0.35">
      <c r="A14" s="100" t="s">
        <v>4</v>
      </c>
      <c r="B14" s="18" t="s">
        <v>5</v>
      </c>
      <c r="C14" s="102" t="s">
        <v>6</v>
      </c>
      <c r="D14" s="102"/>
      <c r="E14" s="102"/>
      <c r="F14" s="102"/>
      <c r="G14" s="103" t="s">
        <v>7</v>
      </c>
      <c r="H14" s="104"/>
      <c r="I14" s="20" t="s">
        <v>8</v>
      </c>
      <c r="J14" s="18" t="s">
        <v>41</v>
      </c>
      <c r="K14" s="18" t="s">
        <v>9</v>
      </c>
    </row>
    <row r="15" spans="1:11" ht="22" thickBot="1" x14ac:dyDescent="0.4">
      <c r="A15" s="101"/>
      <c r="B15" s="19" t="s">
        <v>10</v>
      </c>
      <c r="C15" s="105" t="s">
        <v>11</v>
      </c>
      <c r="D15" s="105"/>
      <c r="E15" s="105"/>
      <c r="F15" s="105"/>
      <c r="G15" s="106" t="s">
        <v>12</v>
      </c>
      <c r="H15" s="107"/>
      <c r="I15" s="19" t="s">
        <v>13</v>
      </c>
      <c r="J15" s="19" t="s">
        <v>15</v>
      </c>
      <c r="K15" s="19" t="s">
        <v>14</v>
      </c>
    </row>
    <row r="16" spans="1:11" s="31" customFormat="1" ht="24" x14ac:dyDescent="0.4">
      <c r="A16" s="28">
        <v>1</v>
      </c>
      <c r="B16" s="29">
        <v>635</v>
      </c>
      <c r="C16" s="181" t="s">
        <v>49</v>
      </c>
      <c r="D16" s="89"/>
      <c r="E16" s="89"/>
      <c r="F16" s="90"/>
      <c r="G16" s="182">
        <v>4</v>
      </c>
      <c r="H16" s="183"/>
      <c r="I16" s="30">
        <v>990</v>
      </c>
      <c r="J16" s="30"/>
      <c r="K16" s="30">
        <f>G16*I16</f>
        <v>3960</v>
      </c>
    </row>
    <row r="17" spans="1:11" s="31" customFormat="1" ht="24" x14ac:dyDescent="0.4">
      <c r="A17" s="32">
        <v>2</v>
      </c>
      <c r="B17" s="33">
        <v>636</v>
      </c>
      <c r="C17" s="110" t="s">
        <v>50</v>
      </c>
      <c r="D17" s="91"/>
      <c r="E17" s="91"/>
      <c r="F17" s="92"/>
      <c r="G17" s="111">
        <v>4</v>
      </c>
      <c r="H17" s="112"/>
      <c r="I17" s="34">
        <v>290</v>
      </c>
      <c r="J17" s="34"/>
      <c r="K17" s="34">
        <f>G17*I17</f>
        <v>1160</v>
      </c>
    </row>
    <row r="18" spans="1:11" s="31" customFormat="1" ht="24" x14ac:dyDescent="0.4">
      <c r="A18" s="32"/>
      <c r="B18" s="33"/>
      <c r="C18" s="110"/>
      <c r="D18" s="91"/>
      <c r="E18" s="91"/>
      <c r="F18" s="92"/>
      <c r="G18" s="111"/>
      <c r="H18" s="112"/>
      <c r="I18" s="34"/>
      <c r="J18" s="34"/>
      <c r="K18" s="34"/>
    </row>
    <row r="19" spans="1:11" s="31" customFormat="1" ht="24" x14ac:dyDescent="0.4">
      <c r="A19" s="32"/>
      <c r="B19" s="33"/>
      <c r="C19" s="110"/>
      <c r="D19" s="91"/>
      <c r="E19" s="91"/>
      <c r="F19" s="92"/>
      <c r="G19" s="111"/>
      <c r="H19" s="112"/>
      <c r="I19" s="34"/>
      <c r="J19" s="34"/>
      <c r="K19" s="34"/>
    </row>
    <row r="20" spans="1:11" s="31" customFormat="1" ht="24" x14ac:dyDescent="0.4">
      <c r="A20" s="32"/>
      <c r="B20" s="33"/>
      <c r="C20" s="110"/>
      <c r="D20" s="91"/>
      <c r="E20" s="91"/>
      <c r="F20" s="92"/>
      <c r="G20" s="111"/>
      <c r="H20" s="112"/>
      <c r="I20" s="34"/>
      <c r="J20" s="34"/>
      <c r="K20" s="34"/>
    </row>
    <row r="21" spans="1:11" s="31" customFormat="1" ht="24" x14ac:dyDescent="0.4">
      <c r="A21" s="32"/>
      <c r="B21" s="33"/>
      <c r="C21" s="110"/>
      <c r="D21" s="91"/>
      <c r="E21" s="91"/>
      <c r="F21" s="92"/>
      <c r="G21" s="111"/>
      <c r="H21" s="112"/>
      <c r="I21" s="34"/>
      <c r="J21" s="34"/>
      <c r="K21" s="34"/>
    </row>
    <row r="22" spans="1:11" s="31" customFormat="1" ht="24" x14ac:dyDescent="0.4">
      <c r="A22" s="32"/>
      <c r="B22" s="33"/>
      <c r="C22" s="110"/>
      <c r="D22" s="91"/>
      <c r="E22" s="91"/>
      <c r="F22" s="92"/>
      <c r="G22" s="111"/>
      <c r="H22" s="112"/>
      <c r="I22" s="34"/>
      <c r="J22" s="34"/>
      <c r="K22" s="34"/>
    </row>
    <row r="23" spans="1:11" s="31" customFormat="1" ht="24" x14ac:dyDescent="0.4">
      <c r="A23" s="32"/>
      <c r="B23" s="33"/>
      <c r="C23" s="110"/>
      <c r="D23" s="91"/>
      <c r="E23" s="91"/>
      <c r="F23" s="92"/>
      <c r="G23" s="111"/>
      <c r="H23" s="112"/>
      <c r="I23" s="34"/>
      <c r="J23" s="34"/>
      <c r="K23" s="34"/>
    </row>
    <row r="24" spans="1:11" s="31" customFormat="1" ht="24" x14ac:dyDescent="0.4">
      <c r="A24" s="32"/>
      <c r="B24" s="33"/>
      <c r="C24" s="110"/>
      <c r="D24" s="91"/>
      <c r="E24" s="91"/>
      <c r="F24" s="92"/>
      <c r="G24" s="111"/>
      <c r="H24" s="112"/>
      <c r="I24" s="34"/>
      <c r="J24" s="34"/>
      <c r="K24" s="34"/>
    </row>
    <row r="25" spans="1:11" s="31" customFormat="1" ht="24" x14ac:dyDescent="0.4">
      <c r="A25" s="32"/>
      <c r="B25" s="33"/>
      <c r="C25" s="110"/>
      <c r="D25" s="91"/>
      <c r="E25" s="91"/>
      <c r="F25" s="92"/>
      <c r="G25" s="111"/>
      <c r="H25" s="112"/>
      <c r="I25" s="34"/>
      <c r="J25" s="34"/>
      <c r="K25" s="34"/>
    </row>
    <row r="26" spans="1:11" s="31" customFormat="1" ht="25" thickBot="1" x14ac:dyDescent="0.45">
      <c r="A26" s="35"/>
      <c r="B26" s="36"/>
      <c r="C26" s="113"/>
      <c r="D26" s="114"/>
      <c r="E26" s="114"/>
      <c r="F26" s="137"/>
      <c r="G26" s="115"/>
      <c r="H26" s="116"/>
      <c r="I26" s="37"/>
      <c r="J26" s="37"/>
      <c r="K26" s="37"/>
    </row>
    <row r="27" spans="1:11" ht="25" thickBot="1" x14ac:dyDescent="0.45">
      <c r="A27" s="184" t="s">
        <v>29</v>
      </c>
      <c r="B27" s="120"/>
      <c r="C27" s="138"/>
      <c r="D27" s="138"/>
      <c r="E27" s="138"/>
      <c r="F27" s="138"/>
      <c r="G27" s="138"/>
      <c r="H27" s="139"/>
      <c r="I27" s="163" t="s">
        <v>19</v>
      </c>
      <c r="J27" s="164"/>
      <c r="K27" s="44">
        <f>SUM(K16:K26)</f>
        <v>5120</v>
      </c>
    </row>
    <row r="28" spans="1:11" ht="25" thickBot="1" x14ac:dyDescent="0.45">
      <c r="C28" s="120"/>
      <c r="D28" s="120"/>
      <c r="H28" s="9"/>
      <c r="I28" s="163" t="s">
        <v>22</v>
      </c>
      <c r="J28" s="164"/>
      <c r="K28" s="44">
        <f>(G16+G17)*J16</f>
        <v>0</v>
      </c>
    </row>
    <row r="29" spans="1:11" ht="25" thickBot="1" x14ac:dyDescent="0.45">
      <c r="A29" s="55"/>
      <c r="B29" s="53"/>
      <c r="C29" s="53"/>
      <c r="D29" s="2"/>
      <c r="H29" s="9"/>
      <c r="I29" s="163" t="s">
        <v>20</v>
      </c>
      <c r="J29" s="164"/>
      <c r="K29" s="44">
        <f>K27-K28</f>
        <v>5120</v>
      </c>
    </row>
    <row r="30" spans="1:11" ht="25" thickBot="1" x14ac:dyDescent="0.45">
      <c r="A30" s="143"/>
      <c r="B30" s="123"/>
      <c r="C30" s="123"/>
      <c r="D30" s="123"/>
      <c r="E30" s="123"/>
      <c r="F30" s="123"/>
      <c r="G30" s="123"/>
      <c r="H30" s="124"/>
      <c r="I30" s="163" t="s">
        <v>70</v>
      </c>
      <c r="J30" s="164"/>
      <c r="K30" s="44">
        <f>K29*7/100</f>
        <v>358.4</v>
      </c>
    </row>
    <row r="31" spans="1:11" ht="21.75" customHeight="1" thickBot="1" x14ac:dyDescent="0.45">
      <c r="A31" s="125" t="str">
        <f>"("&amp;BAHTTEXT(K31)&amp;")"</f>
        <v>(ห้าพันสี่ร้อยเจ็ดสิบแปดบาทสี่สิบสตางค์)</v>
      </c>
      <c r="B31" s="126"/>
      <c r="C31" s="126"/>
      <c r="D31" s="126"/>
      <c r="E31" s="126"/>
      <c r="F31" s="126"/>
      <c r="G31" s="126"/>
      <c r="H31" s="127"/>
      <c r="I31" s="163" t="s">
        <v>21</v>
      </c>
      <c r="J31" s="164"/>
      <c r="K31" s="44">
        <f>K29+K30</f>
        <v>5478.4</v>
      </c>
    </row>
    <row r="32" spans="1:11" ht="21.75" customHeight="1" thickBot="1" x14ac:dyDescent="0.4">
      <c r="A32" s="103" t="s">
        <v>51</v>
      </c>
      <c r="B32" s="158"/>
      <c r="C32" s="158"/>
      <c r="D32" s="158"/>
      <c r="E32" s="158"/>
      <c r="F32" s="158"/>
      <c r="G32" s="158"/>
      <c r="H32" s="158"/>
      <c r="I32" s="158"/>
      <c r="J32" s="158"/>
      <c r="K32" s="104"/>
    </row>
    <row r="33" spans="1:13" x14ac:dyDescent="0.35">
      <c r="A33" s="12"/>
      <c r="B33" s="5"/>
      <c r="C33" s="7"/>
      <c r="E33" s="12"/>
      <c r="F33" s="5"/>
      <c r="G33" s="5"/>
      <c r="H33" s="7"/>
      <c r="I33" s="12"/>
      <c r="J33" s="57"/>
      <c r="K33" s="58"/>
    </row>
    <row r="34" spans="1:13" x14ac:dyDescent="0.35">
      <c r="A34" s="8" t="s">
        <v>52</v>
      </c>
      <c r="B34" s="2" t="s">
        <v>26</v>
      </c>
      <c r="C34" s="9"/>
      <c r="E34" s="184" t="s">
        <v>55</v>
      </c>
      <c r="F34" s="120"/>
      <c r="G34" s="120"/>
      <c r="H34" s="15"/>
      <c r="I34" s="142" t="s">
        <v>56</v>
      </c>
      <c r="J34" s="128"/>
      <c r="K34" s="129"/>
    </row>
    <row r="35" spans="1:13" ht="12" customHeight="1" x14ac:dyDescent="0.35">
      <c r="A35" s="8"/>
      <c r="B35" s="2"/>
      <c r="C35" s="15"/>
      <c r="D35" s="2"/>
      <c r="E35" s="10"/>
      <c r="H35" s="9"/>
      <c r="I35" s="10"/>
      <c r="K35" s="9"/>
    </row>
    <row r="36" spans="1:13" x14ac:dyDescent="0.35">
      <c r="A36" s="8"/>
      <c r="B36" s="2" t="s">
        <v>25</v>
      </c>
      <c r="C36" s="15"/>
      <c r="D36" s="2"/>
      <c r="E36" s="184" t="s">
        <v>54</v>
      </c>
      <c r="F36" s="120"/>
      <c r="G36" s="120"/>
      <c r="H36" s="15"/>
      <c r="I36" s="142" t="s">
        <v>44</v>
      </c>
      <c r="J36" s="128"/>
      <c r="K36" s="129"/>
      <c r="L36" s="2"/>
      <c r="M36" s="2"/>
    </row>
    <row r="37" spans="1:13" x14ac:dyDescent="0.35">
      <c r="A37" s="8"/>
      <c r="B37" s="120" t="s">
        <v>38</v>
      </c>
      <c r="C37" s="121"/>
      <c r="D37" s="16"/>
      <c r="E37" s="8" t="s">
        <v>53</v>
      </c>
      <c r="F37" s="2"/>
      <c r="G37" s="2"/>
      <c r="H37" s="15"/>
      <c r="I37" s="142" t="s">
        <v>23</v>
      </c>
      <c r="J37" s="128"/>
      <c r="K37" s="129"/>
    </row>
    <row r="38" spans="1:13" ht="22" thickBot="1" x14ac:dyDescent="0.4">
      <c r="A38" s="11" t="s">
        <v>16</v>
      </c>
      <c r="B38" s="122"/>
      <c r="C38" s="107"/>
      <c r="D38" s="17"/>
      <c r="E38" s="11" t="s">
        <v>16</v>
      </c>
      <c r="F38" s="45"/>
      <c r="G38" s="45"/>
      <c r="H38" s="56"/>
      <c r="I38" s="11" t="s">
        <v>16</v>
      </c>
      <c r="J38" s="45"/>
      <c r="K38" s="56"/>
    </row>
  </sheetData>
  <mergeCells count="54">
    <mergeCell ref="J5:K5"/>
    <mergeCell ref="E34:G34"/>
    <mergeCell ref="E36:G36"/>
    <mergeCell ref="I34:K34"/>
    <mergeCell ref="I36:K36"/>
    <mergeCell ref="C24:F24"/>
    <mergeCell ref="G24:H24"/>
    <mergeCell ref="C25:F25"/>
    <mergeCell ref="G25:H25"/>
    <mergeCell ref="C26:F26"/>
    <mergeCell ref="G26:H26"/>
    <mergeCell ref="C21:F21"/>
    <mergeCell ref="G21:H21"/>
    <mergeCell ref="C22:F22"/>
    <mergeCell ref="G22:H22"/>
    <mergeCell ref="C23:F23"/>
    <mergeCell ref="B37:C37"/>
    <mergeCell ref="B38:C38"/>
    <mergeCell ref="C28:D28"/>
    <mergeCell ref="A27:B27"/>
    <mergeCell ref="A32:K32"/>
    <mergeCell ref="I37:K37"/>
    <mergeCell ref="I30:J30"/>
    <mergeCell ref="A31:H31"/>
    <mergeCell ref="I31:J31"/>
    <mergeCell ref="C27:H27"/>
    <mergeCell ref="I27:J27"/>
    <mergeCell ref="I28:J28"/>
    <mergeCell ref="A30:H30"/>
    <mergeCell ref="I29:J29"/>
    <mergeCell ref="G23:H23"/>
    <mergeCell ref="C19:F19"/>
    <mergeCell ref="G19:H19"/>
    <mergeCell ref="C20:F20"/>
    <mergeCell ref="G20:H20"/>
    <mergeCell ref="C16:F16"/>
    <mergeCell ref="G16:H16"/>
    <mergeCell ref="C17:F17"/>
    <mergeCell ref="G17:H17"/>
    <mergeCell ref="C18:F18"/>
    <mergeCell ref="G18:H18"/>
    <mergeCell ref="B12:F12"/>
    <mergeCell ref="G12:K12"/>
    <mergeCell ref="A14:A15"/>
    <mergeCell ref="C14:F14"/>
    <mergeCell ref="G14:H14"/>
    <mergeCell ref="C15:F15"/>
    <mergeCell ref="G15:H15"/>
    <mergeCell ref="J8:K8"/>
    <mergeCell ref="B8:F8"/>
    <mergeCell ref="B9:F9"/>
    <mergeCell ref="I9:K9"/>
    <mergeCell ref="B10:F10"/>
    <mergeCell ref="I10:K10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M38"/>
  <sheetViews>
    <sheetView workbookViewId="0">
      <selection activeCell="J5" sqref="J5:K6"/>
    </sheetView>
  </sheetViews>
  <sheetFormatPr baseColWidth="10" defaultColWidth="9" defaultRowHeight="21" x14ac:dyDescent="0.35"/>
  <cols>
    <col min="1" max="1" width="7.1640625" style="1" customWidth="1"/>
    <col min="2" max="2" width="10" style="1" customWidth="1"/>
    <col min="3" max="3" width="17.83203125" style="1" customWidth="1"/>
    <col min="4" max="4" width="0.6640625" style="1" customWidth="1"/>
    <col min="5" max="5" width="7.33203125" style="1" customWidth="1"/>
    <col min="6" max="6" width="7.6640625" style="1" customWidth="1"/>
    <col min="7" max="7" width="9.1640625" style="1" customWidth="1"/>
    <col min="8" max="8" width="1.6640625" style="1" customWidth="1"/>
    <col min="9" max="9" width="9.33203125" style="1" customWidth="1"/>
    <col min="10" max="10" width="9.1640625" style="1" customWidth="1"/>
    <col min="11" max="11" width="13.6640625" style="1" customWidth="1"/>
    <col min="12" max="16384" width="9" style="1"/>
  </cols>
  <sheetData>
    <row r="1" spans="1:11" ht="29" x14ac:dyDescent="0.45">
      <c r="A1" s="25" t="s">
        <v>45</v>
      </c>
    </row>
    <row r="2" spans="1:11" ht="24" x14ac:dyDescent="0.4">
      <c r="A2" s="26" t="s">
        <v>42</v>
      </c>
    </row>
    <row r="3" spans="1:11" ht="24" x14ac:dyDescent="0.4">
      <c r="A3" s="26" t="s">
        <v>46</v>
      </c>
    </row>
    <row r="4" spans="1:11" ht="25" thickBot="1" x14ac:dyDescent="0.45">
      <c r="A4" s="26" t="s">
        <v>48</v>
      </c>
    </row>
    <row r="5" spans="1:11" ht="25" thickBot="1" x14ac:dyDescent="0.45">
      <c r="A5" s="26" t="s">
        <v>47</v>
      </c>
      <c r="I5" s="13" t="s">
        <v>36</v>
      </c>
      <c r="J5" s="172"/>
      <c r="K5" s="173"/>
    </row>
    <row r="6" spans="1:11" ht="22" thickBot="1" x14ac:dyDescent="0.4">
      <c r="I6" s="13" t="s">
        <v>37</v>
      </c>
      <c r="J6" s="27"/>
      <c r="K6" s="24"/>
    </row>
    <row r="7" spans="1:11" ht="3.75" customHeight="1" thickBot="1" x14ac:dyDescent="0.4">
      <c r="A7" s="10"/>
      <c r="I7" s="2"/>
      <c r="J7" s="3"/>
      <c r="K7" s="14"/>
    </row>
    <row r="8" spans="1:11" ht="28.5" customHeight="1" thickBot="1" x14ac:dyDescent="0.4">
      <c r="A8" s="4" t="s">
        <v>0</v>
      </c>
      <c r="B8" s="150"/>
      <c r="C8" s="150"/>
      <c r="D8" s="150"/>
      <c r="E8" s="150"/>
      <c r="F8" s="151"/>
      <c r="G8" s="65" t="s">
        <v>57</v>
      </c>
      <c r="H8" s="67"/>
      <c r="I8" s="68"/>
      <c r="J8" s="172" t="s">
        <v>92</v>
      </c>
      <c r="K8" s="173"/>
    </row>
    <row r="9" spans="1:11" x14ac:dyDescent="0.35">
      <c r="A9" s="8" t="s">
        <v>1</v>
      </c>
      <c r="B9" s="174"/>
      <c r="C9" s="175"/>
      <c r="D9" s="175"/>
      <c r="E9" s="175"/>
      <c r="F9" s="176"/>
      <c r="G9" s="2" t="s">
        <v>16</v>
      </c>
      <c r="H9" s="2"/>
      <c r="I9" s="177">
        <v>43790</v>
      </c>
      <c r="J9" s="178"/>
      <c r="K9" s="179"/>
    </row>
    <row r="10" spans="1:11" x14ac:dyDescent="0.35">
      <c r="A10" s="8" t="s">
        <v>2</v>
      </c>
      <c r="B10" s="178"/>
      <c r="C10" s="178"/>
      <c r="D10" s="178"/>
      <c r="E10" s="178"/>
      <c r="F10" s="179"/>
      <c r="G10" s="55" t="s">
        <v>58</v>
      </c>
      <c r="H10" s="2"/>
      <c r="I10" s="180" t="s">
        <v>59</v>
      </c>
      <c r="J10" s="178"/>
      <c r="K10" s="179"/>
    </row>
    <row r="11" spans="1:11" x14ac:dyDescent="0.35">
      <c r="A11" s="10"/>
      <c r="F11" s="9"/>
      <c r="G11" s="2"/>
      <c r="K11" s="9"/>
    </row>
    <row r="12" spans="1:11" ht="22" thickBot="1" x14ac:dyDescent="0.4">
      <c r="A12" s="11" t="s">
        <v>3</v>
      </c>
      <c r="B12" s="98"/>
      <c r="C12" s="98"/>
      <c r="D12" s="98"/>
      <c r="E12" s="98"/>
      <c r="F12" s="99"/>
      <c r="G12" s="149"/>
      <c r="H12" s="98"/>
      <c r="I12" s="98"/>
      <c r="J12" s="98"/>
      <c r="K12" s="99"/>
    </row>
    <row r="13" spans="1:11" ht="4.5" customHeight="1" thickBot="1" x14ac:dyDescent="0.4">
      <c r="A13" s="2"/>
      <c r="B13" s="1" t="s">
        <v>94</v>
      </c>
    </row>
    <row r="14" spans="1:11" x14ac:dyDescent="0.35">
      <c r="A14" s="100" t="s">
        <v>4</v>
      </c>
      <c r="B14" s="18" t="s">
        <v>5</v>
      </c>
      <c r="C14" s="102" t="s">
        <v>6</v>
      </c>
      <c r="D14" s="102"/>
      <c r="E14" s="102"/>
      <c r="F14" s="102"/>
      <c r="G14" s="103" t="s">
        <v>7</v>
      </c>
      <c r="H14" s="104"/>
      <c r="I14" s="20" t="s">
        <v>8</v>
      </c>
      <c r="J14" s="18" t="s">
        <v>41</v>
      </c>
      <c r="K14" s="18" t="s">
        <v>9</v>
      </c>
    </row>
    <row r="15" spans="1:11" ht="22" thickBot="1" x14ac:dyDescent="0.4">
      <c r="A15" s="101"/>
      <c r="B15" s="19" t="s">
        <v>10</v>
      </c>
      <c r="C15" s="105" t="s">
        <v>11</v>
      </c>
      <c r="D15" s="105"/>
      <c r="E15" s="105"/>
      <c r="F15" s="105"/>
      <c r="G15" s="106" t="s">
        <v>12</v>
      </c>
      <c r="H15" s="107"/>
      <c r="I15" s="19" t="s">
        <v>13</v>
      </c>
      <c r="J15" s="19" t="s">
        <v>15</v>
      </c>
      <c r="K15" s="19" t="s">
        <v>14</v>
      </c>
    </row>
    <row r="16" spans="1:11" s="31" customFormat="1" ht="24" x14ac:dyDescent="0.4">
      <c r="A16" s="28">
        <v>1</v>
      </c>
      <c r="B16" s="29">
        <v>635</v>
      </c>
      <c r="C16" s="181" t="s">
        <v>49</v>
      </c>
      <c r="D16" s="89"/>
      <c r="E16" s="89"/>
      <c r="F16" s="90"/>
      <c r="G16" s="182">
        <v>4</v>
      </c>
      <c r="H16" s="183"/>
      <c r="I16" s="30">
        <v>990</v>
      </c>
      <c r="J16" s="30"/>
      <c r="K16" s="30">
        <f>G16*I16</f>
        <v>3960</v>
      </c>
    </row>
    <row r="17" spans="1:11" s="31" customFormat="1" ht="24" x14ac:dyDescent="0.4">
      <c r="A17" s="32">
        <v>2</v>
      </c>
      <c r="B17" s="33">
        <v>636</v>
      </c>
      <c r="C17" s="110" t="s">
        <v>50</v>
      </c>
      <c r="D17" s="91"/>
      <c r="E17" s="91"/>
      <c r="F17" s="92"/>
      <c r="G17" s="111">
        <v>4</v>
      </c>
      <c r="H17" s="112"/>
      <c r="I17" s="34">
        <v>290</v>
      </c>
      <c r="J17" s="34"/>
      <c r="K17" s="34">
        <f>G17*I17</f>
        <v>1160</v>
      </c>
    </row>
    <row r="18" spans="1:11" s="31" customFormat="1" ht="24" x14ac:dyDescent="0.4">
      <c r="A18" s="32"/>
      <c r="B18" s="33"/>
      <c r="C18" s="110"/>
      <c r="D18" s="91"/>
      <c r="E18" s="91"/>
      <c r="F18" s="92"/>
      <c r="G18" s="111"/>
      <c r="H18" s="112"/>
      <c r="I18" s="34"/>
      <c r="J18" s="34"/>
      <c r="K18" s="34"/>
    </row>
    <row r="19" spans="1:11" s="31" customFormat="1" ht="24" x14ac:dyDescent="0.4">
      <c r="A19" s="32"/>
      <c r="B19" s="33"/>
      <c r="C19" s="110"/>
      <c r="D19" s="91"/>
      <c r="E19" s="91"/>
      <c r="F19" s="92"/>
      <c r="G19" s="111"/>
      <c r="H19" s="112"/>
      <c r="I19" s="34"/>
      <c r="J19" s="34"/>
      <c r="K19" s="34"/>
    </row>
    <row r="20" spans="1:11" s="31" customFormat="1" ht="24" x14ac:dyDescent="0.4">
      <c r="A20" s="32"/>
      <c r="B20" s="33"/>
      <c r="C20" s="110"/>
      <c r="D20" s="91"/>
      <c r="E20" s="91"/>
      <c r="F20" s="92"/>
      <c r="G20" s="111"/>
      <c r="H20" s="112"/>
      <c r="I20" s="34"/>
      <c r="J20" s="34"/>
      <c r="K20" s="34"/>
    </row>
    <row r="21" spans="1:11" s="31" customFormat="1" ht="24" x14ac:dyDescent="0.4">
      <c r="A21" s="32"/>
      <c r="B21" s="33"/>
      <c r="C21" s="110"/>
      <c r="D21" s="91"/>
      <c r="E21" s="91"/>
      <c r="F21" s="92"/>
      <c r="G21" s="111"/>
      <c r="H21" s="112"/>
      <c r="I21" s="34"/>
      <c r="J21" s="34"/>
      <c r="K21" s="34"/>
    </row>
    <row r="22" spans="1:11" s="31" customFormat="1" ht="24" x14ac:dyDescent="0.4">
      <c r="A22" s="32"/>
      <c r="B22" s="33"/>
      <c r="C22" s="110"/>
      <c r="D22" s="91"/>
      <c r="E22" s="91"/>
      <c r="F22" s="92"/>
      <c r="G22" s="111"/>
      <c r="H22" s="112"/>
      <c r="I22" s="34"/>
      <c r="J22" s="34"/>
      <c r="K22" s="34"/>
    </row>
    <row r="23" spans="1:11" s="31" customFormat="1" ht="24" x14ac:dyDescent="0.4">
      <c r="A23" s="32"/>
      <c r="B23" s="33"/>
      <c r="C23" s="110"/>
      <c r="D23" s="91"/>
      <c r="E23" s="91"/>
      <c r="F23" s="92"/>
      <c r="G23" s="111"/>
      <c r="H23" s="112"/>
      <c r="I23" s="34"/>
      <c r="J23" s="34"/>
      <c r="K23" s="34"/>
    </row>
    <row r="24" spans="1:11" s="31" customFormat="1" ht="24" x14ac:dyDescent="0.4">
      <c r="A24" s="32"/>
      <c r="B24" s="33"/>
      <c r="C24" s="110"/>
      <c r="D24" s="91"/>
      <c r="E24" s="91"/>
      <c r="F24" s="92"/>
      <c r="G24" s="111"/>
      <c r="H24" s="112"/>
      <c r="I24" s="34"/>
      <c r="J24" s="34"/>
      <c r="K24" s="34"/>
    </row>
    <row r="25" spans="1:11" s="31" customFormat="1" ht="24" x14ac:dyDescent="0.4">
      <c r="A25" s="32"/>
      <c r="B25" s="33"/>
      <c r="C25" s="110"/>
      <c r="D25" s="91"/>
      <c r="E25" s="91"/>
      <c r="F25" s="92"/>
      <c r="G25" s="111"/>
      <c r="H25" s="112"/>
      <c r="I25" s="34"/>
      <c r="J25" s="34"/>
      <c r="K25" s="34"/>
    </row>
    <row r="26" spans="1:11" s="31" customFormat="1" ht="25" thickBot="1" x14ac:dyDescent="0.45">
      <c r="A26" s="35"/>
      <c r="B26" s="36"/>
      <c r="C26" s="113"/>
      <c r="D26" s="114"/>
      <c r="E26" s="114"/>
      <c r="F26" s="137"/>
      <c r="G26" s="115"/>
      <c r="H26" s="116"/>
      <c r="I26" s="37"/>
      <c r="J26" s="37"/>
      <c r="K26" s="37"/>
    </row>
    <row r="27" spans="1:11" ht="25" thickBot="1" x14ac:dyDescent="0.45">
      <c r="A27" s="184" t="s">
        <v>29</v>
      </c>
      <c r="B27" s="120"/>
      <c r="C27" s="138"/>
      <c r="D27" s="138"/>
      <c r="E27" s="138"/>
      <c r="F27" s="138"/>
      <c r="G27" s="138"/>
      <c r="H27" s="139"/>
      <c r="I27" s="163" t="s">
        <v>19</v>
      </c>
      <c r="J27" s="164"/>
      <c r="K27" s="44">
        <f>SUM(K16:K26)</f>
        <v>5120</v>
      </c>
    </row>
    <row r="28" spans="1:11" ht="25" thickBot="1" x14ac:dyDescent="0.45">
      <c r="C28" s="120"/>
      <c r="D28" s="120"/>
      <c r="H28" s="9"/>
      <c r="I28" s="163" t="s">
        <v>22</v>
      </c>
      <c r="J28" s="164"/>
      <c r="K28" s="44">
        <f>(G16+G17)*J16</f>
        <v>0</v>
      </c>
    </row>
    <row r="29" spans="1:11" ht="25" thickBot="1" x14ac:dyDescent="0.45">
      <c r="A29" s="55"/>
      <c r="B29" s="53"/>
      <c r="C29" s="53"/>
      <c r="D29" s="2"/>
      <c r="H29" s="9"/>
      <c r="I29" s="163" t="s">
        <v>20</v>
      </c>
      <c r="J29" s="164"/>
      <c r="K29" s="44">
        <f>K27-K28</f>
        <v>5120</v>
      </c>
    </row>
    <row r="30" spans="1:11" ht="25" thickBot="1" x14ac:dyDescent="0.45">
      <c r="A30" s="143"/>
      <c r="B30" s="123"/>
      <c r="C30" s="123"/>
      <c r="D30" s="123"/>
      <c r="E30" s="123"/>
      <c r="F30" s="123"/>
      <c r="G30" s="123"/>
      <c r="H30" s="124"/>
      <c r="I30" s="163" t="s">
        <v>70</v>
      </c>
      <c r="J30" s="164"/>
      <c r="K30" s="44">
        <f>K29*7/100</f>
        <v>358.4</v>
      </c>
    </row>
    <row r="31" spans="1:11" ht="21.75" customHeight="1" thickBot="1" x14ac:dyDescent="0.45">
      <c r="A31" s="125" t="str">
        <f>"("&amp;BAHTTEXT(K31)&amp;")"</f>
        <v>(ห้าพันสี่ร้อยเจ็ดสิบแปดบาทสี่สิบสตางค์)</v>
      </c>
      <c r="B31" s="126"/>
      <c r="C31" s="126"/>
      <c r="D31" s="126"/>
      <c r="E31" s="126"/>
      <c r="F31" s="126"/>
      <c r="G31" s="126"/>
      <c r="H31" s="127"/>
      <c r="I31" s="163" t="s">
        <v>21</v>
      </c>
      <c r="J31" s="164"/>
      <c r="K31" s="44">
        <f>K29+K30</f>
        <v>5478.4</v>
      </c>
    </row>
    <row r="32" spans="1:11" ht="21.75" customHeight="1" thickBot="1" x14ac:dyDescent="0.4">
      <c r="A32" s="103" t="s">
        <v>51</v>
      </c>
      <c r="B32" s="158"/>
      <c r="C32" s="158"/>
      <c r="D32" s="158"/>
      <c r="E32" s="158"/>
      <c r="F32" s="158"/>
      <c r="G32" s="158"/>
      <c r="H32" s="158"/>
      <c r="I32" s="158"/>
      <c r="J32" s="158"/>
      <c r="K32" s="104"/>
    </row>
    <row r="33" spans="1:13" x14ac:dyDescent="0.35">
      <c r="A33" s="12"/>
      <c r="B33" s="5"/>
      <c r="C33" s="7"/>
      <c r="E33" s="12"/>
      <c r="F33" s="5"/>
      <c r="G33" s="5"/>
      <c r="H33" s="7"/>
      <c r="I33" s="12"/>
      <c r="J33" s="57"/>
      <c r="K33" s="58"/>
    </row>
    <row r="34" spans="1:13" x14ac:dyDescent="0.35">
      <c r="A34" s="8" t="s">
        <v>52</v>
      </c>
      <c r="B34" s="2" t="s">
        <v>26</v>
      </c>
      <c r="C34" s="9"/>
      <c r="E34" s="184" t="s">
        <v>55</v>
      </c>
      <c r="F34" s="120"/>
      <c r="G34" s="120"/>
      <c r="H34" s="15"/>
      <c r="I34" s="142" t="s">
        <v>56</v>
      </c>
      <c r="J34" s="128"/>
      <c r="K34" s="129"/>
    </row>
    <row r="35" spans="1:13" ht="12" customHeight="1" x14ac:dyDescent="0.35">
      <c r="A35" s="8"/>
      <c r="B35" s="2"/>
      <c r="C35" s="15"/>
      <c r="D35" s="2"/>
      <c r="E35" s="10"/>
      <c r="H35" s="9"/>
      <c r="I35" s="10"/>
      <c r="K35" s="9"/>
    </row>
    <row r="36" spans="1:13" x14ac:dyDescent="0.35">
      <c r="A36" s="8"/>
      <c r="B36" s="2" t="s">
        <v>25</v>
      </c>
      <c r="C36" s="15"/>
      <c r="D36" s="2"/>
      <c r="E36" s="184" t="s">
        <v>54</v>
      </c>
      <c r="F36" s="120"/>
      <c r="G36" s="120"/>
      <c r="H36" s="15"/>
      <c r="I36" s="142" t="s">
        <v>44</v>
      </c>
      <c r="J36" s="128"/>
      <c r="K36" s="129"/>
      <c r="L36" s="2"/>
      <c r="M36" s="2"/>
    </row>
    <row r="37" spans="1:13" x14ac:dyDescent="0.35">
      <c r="A37" s="8"/>
      <c r="B37" s="120" t="s">
        <v>38</v>
      </c>
      <c r="C37" s="121"/>
      <c r="D37" s="16"/>
      <c r="E37" s="8" t="s">
        <v>53</v>
      </c>
      <c r="F37" s="2"/>
      <c r="G37" s="2"/>
      <c r="H37" s="15"/>
      <c r="I37" s="142" t="s">
        <v>23</v>
      </c>
      <c r="J37" s="128"/>
      <c r="K37" s="129"/>
    </row>
    <row r="38" spans="1:13" ht="22" thickBot="1" x14ac:dyDescent="0.4">
      <c r="A38" s="11" t="s">
        <v>16</v>
      </c>
      <c r="B38" s="122"/>
      <c r="C38" s="107"/>
      <c r="D38" s="17"/>
      <c r="E38" s="11" t="s">
        <v>16</v>
      </c>
      <c r="F38" s="45"/>
      <c r="G38" s="45"/>
      <c r="H38" s="56"/>
      <c r="I38" s="11" t="s">
        <v>16</v>
      </c>
      <c r="J38" s="45"/>
      <c r="K38" s="56"/>
    </row>
  </sheetData>
  <mergeCells count="54">
    <mergeCell ref="B10:F10"/>
    <mergeCell ref="I10:K10"/>
    <mergeCell ref="J5:K5"/>
    <mergeCell ref="B8:F8"/>
    <mergeCell ref="J8:K8"/>
    <mergeCell ref="B9:F9"/>
    <mergeCell ref="I9:K9"/>
    <mergeCell ref="B12:F12"/>
    <mergeCell ref="G12:K12"/>
    <mergeCell ref="A14:A15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A27:B27"/>
    <mergeCell ref="C27:H27"/>
    <mergeCell ref="I27:J27"/>
    <mergeCell ref="C28:D28"/>
    <mergeCell ref="I28:J28"/>
    <mergeCell ref="I29:J29"/>
    <mergeCell ref="A30:H30"/>
    <mergeCell ref="I30:J30"/>
    <mergeCell ref="B37:C37"/>
    <mergeCell ref="I37:K37"/>
    <mergeCell ref="B38:C38"/>
    <mergeCell ref="A31:H31"/>
    <mergeCell ref="I31:J31"/>
    <mergeCell ref="A32:K32"/>
    <mergeCell ref="E34:G34"/>
    <mergeCell ref="I34:K34"/>
    <mergeCell ref="E36:G36"/>
    <mergeCell ref="I36:K36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M38"/>
  <sheetViews>
    <sheetView workbookViewId="0">
      <selection activeCell="J5" sqref="J5:K6"/>
    </sheetView>
  </sheetViews>
  <sheetFormatPr baseColWidth="10" defaultColWidth="9" defaultRowHeight="21" x14ac:dyDescent="0.35"/>
  <cols>
    <col min="1" max="1" width="7.1640625" style="1" customWidth="1"/>
    <col min="2" max="2" width="10" style="1" customWidth="1"/>
    <col min="3" max="3" width="17.83203125" style="1" customWidth="1"/>
    <col min="4" max="4" width="0.6640625" style="1" customWidth="1"/>
    <col min="5" max="5" width="7.33203125" style="1" customWidth="1"/>
    <col min="6" max="6" width="7.6640625" style="1" customWidth="1"/>
    <col min="7" max="7" width="9.1640625" style="1" customWidth="1"/>
    <col min="8" max="8" width="1.6640625" style="1" customWidth="1"/>
    <col min="9" max="9" width="9.33203125" style="1" customWidth="1"/>
    <col min="10" max="10" width="9.1640625" style="1" customWidth="1"/>
    <col min="11" max="11" width="13.6640625" style="1" customWidth="1"/>
    <col min="12" max="16384" width="9" style="1"/>
  </cols>
  <sheetData>
    <row r="1" spans="1:11" ht="29" x14ac:dyDescent="0.45">
      <c r="A1" s="25" t="s">
        <v>45</v>
      </c>
    </row>
    <row r="2" spans="1:11" ht="24" x14ac:dyDescent="0.4">
      <c r="A2" s="26" t="s">
        <v>42</v>
      </c>
    </row>
    <row r="3" spans="1:11" ht="24" x14ac:dyDescent="0.4">
      <c r="A3" s="26" t="s">
        <v>46</v>
      </c>
    </row>
    <row r="4" spans="1:11" ht="25" thickBot="1" x14ac:dyDescent="0.45">
      <c r="A4" s="26" t="s">
        <v>48</v>
      </c>
    </row>
    <row r="5" spans="1:11" ht="25" thickBot="1" x14ac:dyDescent="0.45">
      <c r="A5" s="26" t="s">
        <v>47</v>
      </c>
      <c r="I5" s="13" t="s">
        <v>36</v>
      </c>
      <c r="J5" s="172"/>
      <c r="K5" s="173"/>
    </row>
    <row r="6" spans="1:11" ht="22" thickBot="1" x14ac:dyDescent="0.4">
      <c r="I6" s="13" t="s">
        <v>37</v>
      </c>
      <c r="J6" s="27"/>
      <c r="K6" s="24"/>
    </row>
    <row r="7" spans="1:11" ht="3.75" customHeight="1" thickBot="1" x14ac:dyDescent="0.4">
      <c r="A7" s="10"/>
      <c r="I7" s="2"/>
      <c r="J7" s="3"/>
      <c r="K7" s="14"/>
    </row>
    <row r="8" spans="1:11" ht="28.5" customHeight="1" thickBot="1" x14ac:dyDescent="0.4">
      <c r="A8" s="4" t="s">
        <v>0</v>
      </c>
      <c r="B8" s="150"/>
      <c r="C8" s="150"/>
      <c r="D8" s="150"/>
      <c r="E8" s="150"/>
      <c r="F8" s="151"/>
      <c r="G8" s="65" t="s">
        <v>57</v>
      </c>
      <c r="H8" s="67"/>
      <c r="I8" s="68"/>
      <c r="J8" s="172" t="s">
        <v>92</v>
      </c>
      <c r="K8" s="173"/>
    </row>
    <row r="9" spans="1:11" x14ac:dyDescent="0.35">
      <c r="A9" s="8" t="s">
        <v>1</v>
      </c>
      <c r="B9" s="174"/>
      <c r="C9" s="175"/>
      <c r="D9" s="175"/>
      <c r="E9" s="175"/>
      <c r="F9" s="176"/>
      <c r="G9" s="2" t="s">
        <v>16</v>
      </c>
      <c r="H9" s="2"/>
      <c r="I9" s="177">
        <v>43790</v>
      </c>
      <c r="J9" s="178"/>
      <c r="K9" s="179"/>
    </row>
    <row r="10" spans="1:11" x14ac:dyDescent="0.35">
      <c r="A10" s="8" t="s">
        <v>2</v>
      </c>
      <c r="B10" s="178"/>
      <c r="C10" s="178"/>
      <c r="D10" s="178"/>
      <c r="E10" s="178"/>
      <c r="F10" s="179"/>
      <c r="G10" s="55" t="s">
        <v>58</v>
      </c>
      <c r="H10" s="2"/>
      <c r="I10" s="180" t="s">
        <v>59</v>
      </c>
      <c r="J10" s="178"/>
      <c r="K10" s="179"/>
    </row>
    <row r="11" spans="1:11" x14ac:dyDescent="0.35">
      <c r="A11" s="10"/>
      <c r="F11" s="9"/>
      <c r="G11" s="2"/>
      <c r="K11" s="9"/>
    </row>
    <row r="12" spans="1:11" ht="22" thickBot="1" x14ac:dyDescent="0.4">
      <c r="A12" s="11" t="s">
        <v>3</v>
      </c>
      <c r="B12" s="98"/>
      <c r="C12" s="98"/>
      <c r="D12" s="98"/>
      <c r="E12" s="98"/>
      <c r="F12" s="99"/>
      <c r="G12" s="149"/>
      <c r="H12" s="98"/>
      <c r="I12" s="98"/>
      <c r="J12" s="98"/>
      <c r="K12" s="99"/>
    </row>
    <row r="13" spans="1:11" ht="4.5" customHeight="1" thickBot="1" x14ac:dyDescent="0.4">
      <c r="A13" s="2"/>
      <c r="B13" s="1" t="s">
        <v>94</v>
      </c>
    </row>
    <row r="14" spans="1:11" x14ac:dyDescent="0.35">
      <c r="A14" s="100" t="s">
        <v>4</v>
      </c>
      <c r="B14" s="18" t="s">
        <v>5</v>
      </c>
      <c r="C14" s="102" t="s">
        <v>6</v>
      </c>
      <c r="D14" s="102"/>
      <c r="E14" s="102"/>
      <c r="F14" s="102"/>
      <c r="G14" s="103" t="s">
        <v>7</v>
      </c>
      <c r="H14" s="104"/>
      <c r="I14" s="20" t="s">
        <v>8</v>
      </c>
      <c r="J14" s="18" t="s">
        <v>41</v>
      </c>
      <c r="K14" s="18" t="s">
        <v>9</v>
      </c>
    </row>
    <row r="15" spans="1:11" ht="22" thickBot="1" x14ac:dyDescent="0.4">
      <c r="A15" s="101"/>
      <c r="B15" s="19" t="s">
        <v>10</v>
      </c>
      <c r="C15" s="105" t="s">
        <v>11</v>
      </c>
      <c r="D15" s="105"/>
      <c r="E15" s="105"/>
      <c r="F15" s="105"/>
      <c r="G15" s="106" t="s">
        <v>12</v>
      </c>
      <c r="H15" s="107"/>
      <c r="I15" s="19" t="s">
        <v>13</v>
      </c>
      <c r="J15" s="19" t="s">
        <v>15</v>
      </c>
      <c r="K15" s="19" t="s">
        <v>14</v>
      </c>
    </row>
    <row r="16" spans="1:11" s="31" customFormat="1" ht="24" x14ac:dyDescent="0.4">
      <c r="A16" s="28">
        <v>1</v>
      </c>
      <c r="B16" s="29">
        <v>635</v>
      </c>
      <c r="C16" s="181" t="s">
        <v>49</v>
      </c>
      <c r="D16" s="89"/>
      <c r="E16" s="89"/>
      <c r="F16" s="90"/>
      <c r="G16" s="182">
        <v>4</v>
      </c>
      <c r="H16" s="183"/>
      <c r="I16" s="30">
        <v>990</v>
      </c>
      <c r="J16" s="30"/>
      <c r="K16" s="30">
        <f>G16*I16</f>
        <v>3960</v>
      </c>
    </row>
    <row r="17" spans="1:11" s="31" customFormat="1" ht="24" x14ac:dyDescent="0.4">
      <c r="A17" s="32">
        <v>2</v>
      </c>
      <c r="B17" s="33">
        <v>636</v>
      </c>
      <c r="C17" s="110" t="s">
        <v>50</v>
      </c>
      <c r="D17" s="91"/>
      <c r="E17" s="91"/>
      <c r="F17" s="92"/>
      <c r="G17" s="111">
        <v>4</v>
      </c>
      <c r="H17" s="112"/>
      <c r="I17" s="34">
        <v>290</v>
      </c>
      <c r="J17" s="34"/>
      <c r="K17" s="34">
        <f>G17*I17</f>
        <v>1160</v>
      </c>
    </row>
    <row r="18" spans="1:11" s="31" customFormat="1" ht="24" x14ac:dyDescent="0.4">
      <c r="A18" s="32"/>
      <c r="B18" s="33"/>
      <c r="C18" s="110"/>
      <c r="D18" s="91"/>
      <c r="E18" s="91"/>
      <c r="F18" s="92"/>
      <c r="G18" s="111"/>
      <c r="H18" s="112"/>
      <c r="I18" s="34"/>
      <c r="J18" s="34"/>
      <c r="K18" s="34"/>
    </row>
    <row r="19" spans="1:11" s="31" customFormat="1" ht="24" x14ac:dyDescent="0.4">
      <c r="A19" s="32"/>
      <c r="B19" s="33"/>
      <c r="C19" s="110"/>
      <c r="D19" s="91"/>
      <c r="E19" s="91"/>
      <c r="F19" s="92"/>
      <c r="G19" s="111"/>
      <c r="H19" s="112"/>
      <c r="I19" s="34"/>
      <c r="J19" s="34"/>
      <c r="K19" s="34"/>
    </row>
    <row r="20" spans="1:11" s="31" customFormat="1" ht="24" x14ac:dyDescent="0.4">
      <c r="A20" s="32"/>
      <c r="B20" s="33"/>
      <c r="C20" s="110"/>
      <c r="D20" s="91"/>
      <c r="E20" s="91"/>
      <c r="F20" s="92"/>
      <c r="G20" s="111"/>
      <c r="H20" s="112"/>
      <c r="I20" s="34"/>
      <c r="J20" s="34"/>
      <c r="K20" s="34"/>
    </row>
    <row r="21" spans="1:11" s="31" customFormat="1" ht="24" x14ac:dyDescent="0.4">
      <c r="A21" s="32"/>
      <c r="B21" s="33"/>
      <c r="C21" s="110"/>
      <c r="D21" s="91"/>
      <c r="E21" s="91"/>
      <c r="F21" s="92"/>
      <c r="G21" s="111"/>
      <c r="H21" s="112"/>
      <c r="I21" s="34"/>
      <c r="J21" s="34"/>
      <c r="K21" s="34"/>
    </row>
    <row r="22" spans="1:11" s="31" customFormat="1" ht="24" x14ac:dyDescent="0.4">
      <c r="A22" s="32"/>
      <c r="B22" s="33"/>
      <c r="C22" s="110"/>
      <c r="D22" s="91"/>
      <c r="E22" s="91"/>
      <c r="F22" s="92"/>
      <c r="G22" s="111"/>
      <c r="H22" s="112"/>
      <c r="I22" s="34"/>
      <c r="J22" s="34"/>
      <c r="K22" s="34"/>
    </row>
    <row r="23" spans="1:11" s="31" customFormat="1" ht="24" x14ac:dyDescent="0.4">
      <c r="A23" s="32"/>
      <c r="B23" s="33"/>
      <c r="C23" s="110"/>
      <c r="D23" s="91"/>
      <c r="E23" s="91"/>
      <c r="F23" s="92"/>
      <c r="G23" s="111"/>
      <c r="H23" s="112"/>
      <c r="I23" s="34"/>
      <c r="J23" s="34"/>
      <c r="K23" s="34"/>
    </row>
    <row r="24" spans="1:11" s="31" customFormat="1" ht="24" x14ac:dyDescent="0.4">
      <c r="A24" s="32"/>
      <c r="B24" s="33"/>
      <c r="C24" s="110"/>
      <c r="D24" s="91"/>
      <c r="E24" s="91"/>
      <c r="F24" s="92"/>
      <c r="G24" s="111"/>
      <c r="H24" s="112"/>
      <c r="I24" s="34"/>
      <c r="J24" s="34"/>
      <c r="K24" s="34"/>
    </row>
    <row r="25" spans="1:11" s="31" customFormat="1" ht="24" x14ac:dyDescent="0.4">
      <c r="A25" s="32"/>
      <c r="B25" s="33"/>
      <c r="C25" s="110"/>
      <c r="D25" s="91"/>
      <c r="E25" s="91"/>
      <c r="F25" s="92"/>
      <c r="G25" s="111"/>
      <c r="H25" s="112"/>
      <c r="I25" s="34"/>
      <c r="J25" s="34"/>
      <c r="K25" s="34"/>
    </row>
    <row r="26" spans="1:11" s="31" customFormat="1" ht="25" thickBot="1" x14ac:dyDescent="0.45">
      <c r="A26" s="35"/>
      <c r="B26" s="36"/>
      <c r="C26" s="113"/>
      <c r="D26" s="114"/>
      <c r="E26" s="114"/>
      <c r="F26" s="137"/>
      <c r="G26" s="115"/>
      <c r="H26" s="116"/>
      <c r="I26" s="37"/>
      <c r="J26" s="37"/>
      <c r="K26" s="37"/>
    </row>
    <row r="27" spans="1:11" ht="25" thickBot="1" x14ac:dyDescent="0.45">
      <c r="A27" s="184" t="s">
        <v>29</v>
      </c>
      <c r="B27" s="120"/>
      <c r="C27" s="138"/>
      <c r="D27" s="138"/>
      <c r="E27" s="138"/>
      <c r="F27" s="138"/>
      <c r="G27" s="138"/>
      <c r="H27" s="139"/>
      <c r="I27" s="163" t="s">
        <v>19</v>
      </c>
      <c r="J27" s="164"/>
      <c r="K27" s="44">
        <f>SUM(K16:K26)</f>
        <v>5120</v>
      </c>
    </row>
    <row r="28" spans="1:11" ht="25" thickBot="1" x14ac:dyDescent="0.45">
      <c r="C28" s="120"/>
      <c r="D28" s="120"/>
      <c r="H28" s="9"/>
      <c r="I28" s="163" t="s">
        <v>22</v>
      </c>
      <c r="J28" s="164"/>
      <c r="K28" s="44">
        <f>(G16+G17)*J16</f>
        <v>0</v>
      </c>
    </row>
    <row r="29" spans="1:11" ht="25" thickBot="1" x14ac:dyDescent="0.45">
      <c r="A29" s="55"/>
      <c r="B29" s="53"/>
      <c r="C29" s="53"/>
      <c r="D29" s="2"/>
      <c r="H29" s="9"/>
      <c r="I29" s="163" t="s">
        <v>20</v>
      </c>
      <c r="J29" s="164"/>
      <c r="K29" s="44">
        <f>K27-K28</f>
        <v>5120</v>
      </c>
    </row>
    <row r="30" spans="1:11" ht="25" thickBot="1" x14ac:dyDescent="0.45">
      <c r="A30" s="143"/>
      <c r="B30" s="123"/>
      <c r="C30" s="123"/>
      <c r="D30" s="123"/>
      <c r="E30" s="123"/>
      <c r="F30" s="123"/>
      <c r="G30" s="123"/>
      <c r="H30" s="124"/>
      <c r="I30" s="163" t="s">
        <v>70</v>
      </c>
      <c r="J30" s="164"/>
      <c r="K30" s="44">
        <f>K29*7/100</f>
        <v>358.4</v>
      </c>
    </row>
    <row r="31" spans="1:11" ht="21.75" customHeight="1" thickBot="1" x14ac:dyDescent="0.45">
      <c r="A31" s="125" t="str">
        <f>"("&amp;BAHTTEXT(K31)&amp;")"</f>
        <v>(ห้าพันสี่ร้อยเจ็ดสิบแปดบาทสี่สิบสตางค์)</v>
      </c>
      <c r="B31" s="126"/>
      <c r="C31" s="126"/>
      <c r="D31" s="126"/>
      <c r="E31" s="126"/>
      <c r="F31" s="126"/>
      <c r="G31" s="126"/>
      <c r="H31" s="127"/>
      <c r="I31" s="163" t="s">
        <v>21</v>
      </c>
      <c r="J31" s="164"/>
      <c r="K31" s="44">
        <f>K29+K30</f>
        <v>5478.4</v>
      </c>
    </row>
    <row r="32" spans="1:11" ht="21.75" customHeight="1" thickBot="1" x14ac:dyDescent="0.4">
      <c r="A32" s="103" t="s">
        <v>51</v>
      </c>
      <c r="B32" s="158"/>
      <c r="C32" s="158"/>
      <c r="D32" s="158"/>
      <c r="E32" s="158"/>
      <c r="F32" s="158"/>
      <c r="G32" s="158"/>
      <c r="H32" s="158"/>
      <c r="I32" s="158"/>
      <c r="J32" s="158"/>
      <c r="K32" s="104"/>
    </row>
    <row r="33" spans="1:13" x14ac:dyDescent="0.35">
      <c r="A33" s="12"/>
      <c r="B33" s="5"/>
      <c r="C33" s="7"/>
      <c r="E33" s="12"/>
      <c r="F33" s="5"/>
      <c r="G33" s="5"/>
      <c r="H33" s="7"/>
      <c r="I33" s="12"/>
      <c r="J33" s="57"/>
      <c r="K33" s="58"/>
    </row>
    <row r="34" spans="1:13" x14ac:dyDescent="0.35">
      <c r="A34" s="8" t="s">
        <v>52</v>
      </c>
      <c r="B34" s="2" t="s">
        <v>26</v>
      </c>
      <c r="C34" s="9"/>
      <c r="E34" s="184" t="s">
        <v>55</v>
      </c>
      <c r="F34" s="120"/>
      <c r="G34" s="120"/>
      <c r="H34" s="15"/>
      <c r="I34" s="142" t="s">
        <v>56</v>
      </c>
      <c r="J34" s="128"/>
      <c r="K34" s="129"/>
    </row>
    <row r="35" spans="1:13" ht="12" customHeight="1" x14ac:dyDescent="0.35">
      <c r="A35" s="8"/>
      <c r="B35" s="2"/>
      <c r="C35" s="15"/>
      <c r="D35" s="2"/>
      <c r="E35" s="10"/>
      <c r="H35" s="9"/>
      <c r="I35" s="10"/>
      <c r="K35" s="9"/>
    </row>
    <row r="36" spans="1:13" x14ac:dyDescent="0.35">
      <c r="A36" s="8"/>
      <c r="B36" s="2" t="s">
        <v>25</v>
      </c>
      <c r="C36" s="15"/>
      <c r="D36" s="2"/>
      <c r="E36" s="184" t="s">
        <v>54</v>
      </c>
      <c r="F36" s="120"/>
      <c r="G36" s="120"/>
      <c r="H36" s="15"/>
      <c r="I36" s="142" t="s">
        <v>44</v>
      </c>
      <c r="J36" s="128"/>
      <c r="K36" s="129"/>
      <c r="L36" s="2"/>
      <c r="M36" s="2"/>
    </row>
    <row r="37" spans="1:13" x14ac:dyDescent="0.35">
      <c r="A37" s="8"/>
      <c r="B37" s="120" t="s">
        <v>38</v>
      </c>
      <c r="C37" s="121"/>
      <c r="D37" s="16"/>
      <c r="E37" s="8" t="s">
        <v>53</v>
      </c>
      <c r="F37" s="2"/>
      <c r="G37" s="2"/>
      <c r="H37" s="15"/>
      <c r="I37" s="142" t="s">
        <v>23</v>
      </c>
      <c r="J37" s="128"/>
      <c r="K37" s="129"/>
    </row>
    <row r="38" spans="1:13" ht="22" thickBot="1" x14ac:dyDescent="0.4">
      <c r="A38" s="11" t="s">
        <v>16</v>
      </c>
      <c r="B38" s="122"/>
      <c r="C38" s="107"/>
      <c r="D38" s="17"/>
      <c r="E38" s="11" t="s">
        <v>16</v>
      </c>
      <c r="F38" s="45"/>
      <c r="G38" s="45"/>
      <c r="H38" s="56"/>
      <c r="I38" s="11" t="s">
        <v>16</v>
      </c>
      <c r="J38" s="45"/>
      <c r="K38" s="56"/>
    </row>
  </sheetData>
  <mergeCells count="54">
    <mergeCell ref="B10:F10"/>
    <mergeCell ref="I10:K10"/>
    <mergeCell ref="J5:K5"/>
    <mergeCell ref="B8:F8"/>
    <mergeCell ref="J8:K8"/>
    <mergeCell ref="B9:F9"/>
    <mergeCell ref="I9:K9"/>
    <mergeCell ref="B12:F12"/>
    <mergeCell ref="G12:K12"/>
    <mergeCell ref="A14:A15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A27:B27"/>
    <mergeCell ref="C27:H27"/>
    <mergeCell ref="I27:J27"/>
    <mergeCell ref="C28:D28"/>
    <mergeCell ref="I28:J28"/>
    <mergeCell ref="I29:J29"/>
    <mergeCell ref="A30:H30"/>
    <mergeCell ref="I30:J30"/>
    <mergeCell ref="B37:C37"/>
    <mergeCell ref="I37:K37"/>
    <mergeCell ref="B38:C38"/>
    <mergeCell ref="A31:H31"/>
    <mergeCell ref="I31:J31"/>
    <mergeCell ref="A32:K32"/>
    <mergeCell ref="E34:G34"/>
    <mergeCell ref="I34:K34"/>
    <mergeCell ref="E36:G36"/>
    <mergeCell ref="I36:K36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M37"/>
  <sheetViews>
    <sheetView view="pageLayout" topLeftCell="A4" workbookViewId="0">
      <selection activeCell="B8" sqref="B8:F12"/>
    </sheetView>
  </sheetViews>
  <sheetFormatPr baseColWidth="10" defaultColWidth="9" defaultRowHeight="21" x14ac:dyDescent="0.35"/>
  <cols>
    <col min="1" max="1" width="7.1640625" style="1" customWidth="1"/>
    <col min="2" max="2" width="10" style="1" customWidth="1"/>
    <col min="3" max="3" width="17.83203125" style="1" customWidth="1"/>
    <col min="4" max="4" width="0.6640625" style="1" customWidth="1"/>
    <col min="5" max="5" width="7.33203125" style="1" customWidth="1"/>
    <col min="6" max="6" width="7.6640625" style="1" customWidth="1"/>
    <col min="7" max="7" width="9.1640625" style="1" customWidth="1"/>
    <col min="8" max="8" width="1.6640625" style="1" customWidth="1"/>
    <col min="9" max="9" width="9.33203125" style="1" customWidth="1"/>
    <col min="10" max="10" width="9.1640625" style="1" customWidth="1"/>
    <col min="11" max="11" width="13.6640625" style="1" customWidth="1"/>
    <col min="12" max="16384" width="9" style="1"/>
  </cols>
  <sheetData>
    <row r="1" spans="1:11" ht="29" x14ac:dyDescent="0.45">
      <c r="A1" s="25" t="s">
        <v>45</v>
      </c>
    </row>
    <row r="2" spans="1:11" ht="24" x14ac:dyDescent="0.4">
      <c r="A2" s="26" t="s">
        <v>42</v>
      </c>
    </row>
    <row r="3" spans="1:11" ht="24" x14ac:dyDescent="0.4">
      <c r="A3" s="26" t="s">
        <v>46</v>
      </c>
    </row>
    <row r="4" spans="1:11" ht="25" thickBot="1" x14ac:dyDescent="0.45">
      <c r="A4" s="26" t="s">
        <v>48</v>
      </c>
    </row>
    <row r="5" spans="1:11" ht="25" thickBot="1" x14ac:dyDescent="0.45">
      <c r="A5" s="26" t="s">
        <v>47</v>
      </c>
      <c r="I5" s="13" t="s">
        <v>36</v>
      </c>
      <c r="J5" s="172" t="s">
        <v>60</v>
      </c>
      <c r="K5" s="173"/>
    </row>
    <row r="6" spans="1:11" ht="22" thickBot="1" x14ac:dyDescent="0.4">
      <c r="I6" s="13" t="s">
        <v>37</v>
      </c>
      <c r="J6" s="27"/>
      <c r="K6" s="24"/>
    </row>
    <row r="7" spans="1:11" ht="3.75" customHeight="1" thickBot="1" x14ac:dyDescent="0.4">
      <c r="A7" s="10"/>
      <c r="I7" s="2"/>
      <c r="J7" s="3"/>
      <c r="K7" s="14"/>
    </row>
    <row r="8" spans="1:11" ht="28.5" customHeight="1" thickBot="1" x14ac:dyDescent="0.4">
      <c r="A8" s="4" t="s">
        <v>0</v>
      </c>
      <c r="B8" s="150"/>
      <c r="C8" s="150"/>
      <c r="D8" s="150"/>
      <c r="E8" s="150"/>
      <c r="F8" s="151"/>
      <c r="G8" s="6" t="s">
        <v>57</v>
      </c>
      <c r="H8" s="6"/>
      <c r="I8" s="5"/>
      <c r="J8" s="172" t="s">
        <v>43</v>
      </c>
      <c r="K8" s="173"/>
    </row>
    <row r="9" spans="1:11" x14ac:dyDescent="0.35">
      <c r="A9" s="8" t="s">
        <v>1</v>
      </c>
      <c r="B9" s="174"/>
      <c r="C9" s="175"/>
      <c r="D9" s="175"/>
      <c r="E9" s="175"/>
      <c r="F9" s="176"/>
      <c r="G9" s="2" t="s">
        <v>16</v>
      </c>
      <c r="H9" s="2"/>
      <c r="I9" s="178"/>
      <c r="J9" s="178"/>
      <c r="K9" s="179"/>
    </row>
    <row r="10" spans="1:11" x14ac:dyDescent="0.35">
      <c r="A10" s="8" t="s">
        <v>2</v>
      </c>
      <c r="B10" s="178"/>
      <c r="C10" s="178"/>
      <c r="D10" s="178"/>
      <c r="E10" s="178"/>
      <c r="F10" s="179"/>
      <c r="G10" s="55" t="s">
        <v>61</v>
      </c>
      <c r="H10" s="2"/>
      <c r="I10" s="180" t="s">
        <v>62</v>
      </c>
      <c r="J10" s="178"/>
      <c r="K10" s="179"/>
    </row>
    <row r="11" spans="1:11" x14ac:dyDescent="0.35">
      <c r="A11" s="10"/>
      <c r="F11" s="9"/>
      <c r="G11" s="2"/>
      <c r="K11" s="9"/>
    </row>
    <row r="12" spans="1:11" ht="22" thickBot="1" x14ac:dyDescent="0.4">
      <c r="A12" s="11" t="s">
        <v>3</v>
      </c>
      <c r="B12" s="98"/>
      <c r="C12" s="98"/>
      <c r="D12" s="98"/>
      <c r="E12" s="98"/>
      <c r="F12" s="99"/>
      <c r="G12" s="149"/>
      <c r="H12" s="98"/>
      <c r="I12" s="98"/>
      <c r="J12" s="98"/>
      <c r="K12" s="99"/>
    </row>
    <row r="13" spans="1:11" ht="4.5" customHeight="1" thickBot="1" x14ac:dyDescent="0.4">
      <c r="A13" s="2"/>
    </row>
    <row r="14" spans="1:11" x14ac:dyDescent="0.35">
      <c r="A14" s="100" t="s">
        <v>4</v>
      </c>
      <c r="B14" s="18" t="s">
        <v>5</v>
      </c>
      <c r="C14" s="102" t="s">
        <v>6</v>
      </c>
      <c r="D14" s="102"/>
      <c r="E14" s="102"/>
      <c r="F14" s="102"/>
      <c r="G14" s="103" t="s">
        <v>7</v>
      </c>
      <c r="H14" s="104"/>
      <c r="I14" s="20" t="s">
        <v>8</v>
      </c>
      <c r="J14" s="18" t="s">
        <v>41</v>
      </c>
      <c r="K14" s="18" t="s">
        <v>9</v>
      </c>
    </row>
    <row r="15" spans="1:11" ht="22" thickBot="1" x14ac:dyDescent="0.4">
      <c r="A15" s="101"/>
      <c r="B15" s="19" t="s">
        <v>10</v>
      </c>
      <c r="C15" s="105" t="s">
        <v>11</v>
      </c>
      <c r="D15" s="105"/>
      <c r="E15" s="105"/>
      <c r="F15" s="105"/>
      <c r="G15" s="106" t="s">
        <v>12</v>
      </c>
      <c r="H15" s="107"/>
      <c r="I15" s="19" t="s">
        <v>13</v>
      </c>
      <c r="J15" s="19" t="s">
        <v>15</v>
      </c>
      <c r="K15" s="19" t="s">
        <v>14</v>
      </c>
    </row>
    <row r="16" spans="1:11" s="31" customFormat="1" ht="24" x14ac:dyDescent="0.4">
      <c r="A16" s="28"/>
      <c r="B16" s="29"/>
      <c r="C16" s="181"/>
      <c r="D16" s="89"/>
      <c r="E16" s="89"/>
      <c r="F16" s="90"/>
      <c r="G16" s="182"/>
      <c r="H16" s="183"/>
      <c r="I16" s="30"/>
      <c r="J16" s="30"/>
      <c r="K16" s="30"/>
    </row>
    <row r="17" spans="1:11" s="31" customFormat="1" ht="24" x14ac:dyDescent="0.4">
      <c r="A17" s="32"/>
      <c r="B17" s="33"/>
      <c r="C17" s="110"/>
      <c r="D17" s="91"/>
      <c r="E17" s="91"/>
      <c r="F17" s="92"/>
      <c r="G17" s="111"/>
      <c r="H17" s="112"/>
      <c r="I17" s="34"/>
      <c r="J17" s="34"/>
      <c r="K17" s="34"/>
    </row>
    <row r="18" spans="1:11" s="31" customFormat="1" ht="24" x14ac:dyDescent="0.4">
      <c r="A18" s="32"/>
      <c r="B18" s="33"/>
      <c r="C18" s="110"/>
      <c r="D18" s="91"/>
      <c r="E18" s="91"/>
      <c r="F18" s="92"/>
      <c r="G18" s="111"/>
      <c r="H18" s="112"/>
      <c r="I18" s="34"/>
      <c r="J18" s="34"/>
      <c r="K18" s="34"/>
    </row>
    <row r="19" spans="1:11" s="31" customFormat="1" ht="24" x14ac:dyDescent="0.4">
      <c r="A19" s="32"/>
      <c r="B19" s="33"/>
      <c r="C19" s="110"/>
      <c r="D19" s="91"/>
      <c r="E19" s="91"/>
      <c r="F19" s="92"/>
      <c r="G19" s="111"/>
      <c r="H19" s="112"/>
      <c r="I19" s="34"/>
      <c r="J19" s="34"/>
      <c r="K19" s="34"/>
    </row>
    <row r="20" spans="1:11" s="31" customFormat="1" ht="24" x14ac:dyDescent="0.4">
      <c r="A20" s="32"/>
      <c r="B20" s="33"/>
      <c r="C20" s="110"/>
      <c r="D20" s="91"/>
      <c r="E20" s="91"/>
      <c r="F20" s="92"/>
      <c r="G20" s="111"/>
      <c r="H20" s="112"/>
      <c r="I20" s="34"/>
      <c r="J20" s="34"/>
      <c r="K20" s="34"/>
    </row>
    <row r="21" spans="1:11" s="31" customFormat="1" ht="24" x14ac:dyDescent="0.4">
      <c r="A21" s="32"/>
      <c r="B21" s="33"/>
      <c r="C21" s="110"/>
      <c r="D21" s="91"/>
      <c r="E21" s="91"/>
      <c r="F21" s="92"/>
      <c r="G21" s="111"/>
      <c r="H21" s="112"/>
      <c r="I21" s="34"/>
      <c r="J21" s="34"/>
      <c r="K21" s="34"/>
    </row>
    <row r="22" spans="1:11" s="31" customFormat="1" ht="25" thickBot="1" x14ac:dyDescent="0.45">
      <c r="A22" s="35"/>
      <c r="B22" s="36"/>
      <c r="C22" s="113"/>
      <c r="D22" s="114"/>
      <c r="E22" s="114"/>
      <c r="F22" s="137"/>
      <c r="G22" s="115"/>
      <c r="H22" s="116"/>
      <c r="I22" s="37"/>
      <c r="J22" s="37"/>
      <c r="K22" s="37"/>
    </row>
    <row r="23" spans="1:11" ht="25" thickBot="1" x14ac:dyDescent="0.45">
      <c r="A23" s="184" t="s">
        <v>29</v>
      </c>
      <c r="B23" s="120"/>
      <c r="C23" s="138"/>
      <c r="D23" s="138"/>
      <c r="E23" s="138"/>
      <c r="F23" s="138"/>
      <c r="G23" s="138"/>
      <c r="H23" s="139"/>
      <c r="I23" s="185" t="s">
        <v>63</v>
      </c>
      <c r="J23" s="173"/>
      <c r="K23" s="44">
        <f>SUM(K16:K22)</f>
        <v>0</v>
      </c>
    </row>
    <row r="24" spans="1:11" ht="25" thickBot="1" x14ac:dyDescent="0.45">
      <c r="C24" s="120"/>
      <c r="D24" s="120"/>
      <c r="H24" s="9"/>
      <c r="I24" s="185" t="s">
        <v>64</v>
      </c>
      <c r="J24" s="173"/>
      <c r="K24" s="44">
        <f>(G16+G17)*J16</f>
        <v>0</v>
      </c>
    </row>
    <row r="25" spans="1:11" ht="25" thickBot="1" x14ac:dyDescent="0.45">
      <c r="A25" s="55"/>
      <c r="B25" s="53"/>
      <c r="C25" s="53"/>
      <c r="D25" s="2"/>
      <c r="H25" s="9"/>
      <c r="I25" s="185" t="s">
        <v>65</v>
      </c>
      <c r="J25" s="173"/>
      <c r="K25" s="44">
        <f>K23-K24</f>
        <v>0</v>
      </c>
    </row>
    <row r="26" spans="1:11" ht="25" thickBot="1" x14ac:dyDescent="0.45">
      <c r="A26" s="55"/>
      <c r="B26" s="53"/>
      <c r="C26" s="53"/>
      <c r="D26" s="2"/>
      <c r="H26" s="9"/>
      <c r="I26" s="59" t="s">
        <v>41</v>
      </c>
      <c r="J26" s="51"/>
      <c r="K26" s="44">
        <f t="shared" ref="K26:K27" si="0">K24-K25</f>
        <v>0</v>
      </c>
    </row>
    <row r="27" spans="1:11" ht="25" thickBot="1" x14ac:dyDescent="0.45">
      <c r="A27" s="55"/>
      <c r="B27" s="53"/>
      <c r="C27" s="53"/>
      <c r="D27" s="2"/>
      <c r="H27" s="9"/>
      <c r="I27" s="59" t="s">
        <v>66</v>
      </c>
      <c r="J27" s="51"/>
      <c r="K27" s="44">
        <f t="shared" si="0"/>
        <v>0</v>
      </c>
    </row>
    <row r="28" spans="1:11" ht="25" thickBot="1" x14ac:dyDescent="0.45">
      <c r="A28" s="143"/>
      <c r="B28" s="123"/>
      <c r="C28" s="123"/>
      <c r="D28" s="123"/>
      <c r="E28" s="123"/>
      <c r="F28" s="123"/>
      <c r="G28" s="123"/>
      <c r="H28" s="124"/>
      <c r="I28" s="185" t="s">
        <v>67</v>
      </c>
      <c r="J28" s="173"/>
      <c r="K28" s="44">
        <f>K25*7/100</f>
        <v>0</v>
      </c>
    </row>
    <row r="29" spans="1:11" ht="21.75" customHeight="1" thickBot="1" x14ac:dyDescent="0.45">
      <c r="A29" s="125" t="str">
        <f>"("&amp;BAHTTEXT(K29)&amp;")"</f>
        <v>(ศูนย์บาทถ้วน)</v>
      </c>
      <c r="B29" s="126"/>
      <c r="C29" s="126"/>
      <c r="D29" s="126"/>
      <c r="E29" s="126"/>
      <c r="F29" s="126"/>
      <c r="G29" s="126"/>
      <c r="H29" s="127"/>
      <c r="I29" s="185" t="s">
        <v>68</v>
      </c>
      <c r="J29" s="173"/>
      <c r="K29" s="44">
        <f>K25+K28</f>
        <v>0</v>
      </c>
    </row>
    <row r="30" spans="1:11" ht="21.75" customHeight="1" thickBot="1" x14ac:dyDescent="0.45">
      <c r="A30" s="52"/>
      <c r="B30" s="54"/>
      <c r="C30" s="54"/>
      <c r="D30" s="16"/>
      <c r="E30" s="16"/>
      <c r="F30" s="16"/>
      <c r="G30" s="16"/>
      <c r="H30" s="16"/>
      <c r="I30" s="50"/>
      <c r="J30" s="50"/>
      <c r="K30" s="60"/>
    </row>
    <row r="31" spans="1:11" x14ac:dyDescent="0.35">
      <c r="A31" s="12"/>
      <c r="B31" s="5"/>
      <c r="C31" s="7"/>
      <c r="H31" s="9"/>
      <c r="I31" s="103" t="s">
        <v>69</v>
      </c>
      <c r="J31" s="158"/>
      <c r="K31" s="104"/>
    </row>
    <row r="32" spans="1:11" x14ac:dyDescent="0.35">
      <c r="A32" s="10"/>
      <c r="C32" s="9"/>
      <c r="H32" s="9"/>
      <c r="I32" s="10"/>
      <c r="J32" s="22"/>
      <c r="K32" s="15"/>
    </row>
    <row r="33" spans="1:13" x14ac:dyDescent="0.35">
      <c r="A33" s="8" t="s">
        <v>52</v>
      </c>
      <c r="B33" s="2" t="s">
        <v>26</v>
      </c>
      <c r="C33" s="9"/>
      <c r="E33" s="120"/>
      <c r="F33" s="120"/>
      <c r="G33" s="120"/>
      <c r="H33" s="15"/>
      <c r="I33" s="142" t="s">
        <v>56</v>
      </c>
      <c r="J33" s="128"/>
      <c r="K33" s="129"/>
    </row>
    <row r="34" spans="1:13" ht="12" customHeight="1" x14ac:dyDescent="0.35">
      <c r="A34" s="8"/>
      <c r="B34" s="2"/>
      <c r="C34" s="15"/>
      <c r="D34" s="2"/>
      <c r="H34" s="9"/>
      <c r="I34" s="10"/>
      <c r="K34" s="9"/>
    </row>
    <row r="35" spans="1:13" x14ac:dyDescent="0.35">
      <c r="A35" s="8"/>
      <c r="B35" s="2" t="s">
        <v>25</v>
      </c>
      <c r="C35" s="15"/>
      <c r="D35" s="2"/>
      <c r="E35" s="120"/>
      <c r="F35" s="120"/>
      <c r="G35" s="120"/>
      <c r="H35" s="15"/>
      <c r="I35" s="142" t="s">
        <v>44</v>
      </c>
      <c r="J35" s="128"/>
      <c r="K35" s="129"/>
      <c r="L35" s="2"/>
      <c r="M35" s="15"/>
    </row>
    <row r="36" spans="1:13" x14ac:dyDescent="0.35">
      <c r="A36" s="8"/>
      <c r="B36" s="120" t="s">
        <v>38</v>
      </c>
      <c r="C36" s="121"/>
      <c r="D36" s="16"/>
      <c r="E36" s="2"/>
      <c r="F36" s="2"/>
      <c r="G36" s="2"/>
      <c r="H36" s="15"/>
      <c r="I36" s="142" t="s">
        <v>23</v>
      </c>
      <c r="J36" s="128"/>
      <c r="K36" s="129"/>
    </row>
    <row r="37" spans="1:13" ht="22" thickBot="1" x14ac:dyDescent="0.4">
      <c r="A37" s="11" t="s">
        <v>16</v>
      </c>
      <c r="B37" s="122"/>
      <c r="C37" s="107"/>
      <c r="D37" s="17"/>
      <c r="E37" s="2"/>
      <c r="H37" s="9"/>
      <c r="I37" s="11" t="s">
        <v>16</v>
      </c>
      <c r="J37" s="45"/>
      <c r="K37" s="56"/>
    </row>
  </sheetData>
  <mergeCells count="46">
    <mergeCell ref="B37:C37"/>
    <mergeCell ref="J5:K5"/>
    <mergeCell ref="J8:K8"/>
    <mergeCell ref="I9:K9"/>
    <mergeCell ref="A23:B23"/>
    <mergeCell ref="I31:K31"/>
    <mergeCell ref="E33:G33"/>
    <mergeCell ref="I33:K33"/>
    <mergeCell ref="E35:G35"/>
    <mergeCell ref="I35:K35"/>
    <mergeCell ref="B36:C36"/>
    <mergeCell ref="I36:K36"/>
    <mergeCell ref="I25:J25"/>
    <mergeCell ref="A28:H28"/>
    <mergeCell ref="I28:J28"/>
    <mergeCell ref="A29:H29"/>
    <mergeCell ref="I29:J29"/>
    <mergeCell ref="C22:F22"/>
    <mergeCell ref="G22:H22"/>
    <mergeCell ref="C23:H23"/>
    <mergeCell ref="I23:J23"/>
    <mergeCell ref="C24:D24"/>
    <mergeCell ref="I24:J24"/>
    <mergeCell ref="C20:F20"/>
    <mergeCell ref="G20:H20"/>
    <mergeCell ref="C21:F21"/>
    <mergeCell ref="G21:H21"/>
    <mergeCell ref="C19:F19"/>
    <mergeCell ref="G19:H19"/>
    <mergeCell ref="C17:F17"/>
    <mergeCell ref="G17:H17"/>
    <mergeCell ref="C18:F18"/>
    <mergeCell ref="G18:H18"/>
    <mergeCell ref="A14:A15"/>
    <mergeCell ref="C14:F14"/>
    <mergeCell ref="G14:H14"/>
    <mergeCell ref="C15:F15"/>
    <mergeCell ref="G15:H15"/>
    <mergeCell ref="C16:F16"/>
    <mergeCell ref="G16:H16"/>
    <mergeCell ref="B8:F8"/>
    <mergeCell ref="B9:F9"/>
    <mergeCell ref="B10:F10"/>
    <mergeCell ref="I10:K10"/>
    <mergeCell ref="B12:F12"/>
    <mergeCell ref="G12:K12"/>
  </mergeCells>
  <pageMargins left="0.11811023622047245" right="0.11811023622047245" top="0.35433070866141736" bottom="0.15748031496062992" header="0.31496062992125984" footer="0.31496062992125984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K35"/>
  <sheetViews>
    <sheetView workbookViewId="0">
      <selection activeCell="B8" sqref="B8:F10"/>
    </sheetView>
  </sheetViews>
  <sheetFormatPr baseColWidth="10" defaultColWidth="9" defaultRowHeight="21" x14ac:dyDescent="0.35"/>
  <cols>
    <col min="1" max="1" width="7.1640625" style="1" customWidth="1"/>
    <col min="2" max="2" width="13.5" style="1" customWidth="1"/>
    <col min="3" max="3" width="17.83203125" style="1" customWidth="1"/>
    <col min="4" max="4" width="0.6640625" style="1" customWidth="1"/>
    <col min="5" max="5" width="7.33203125" style="1" customWidth="1"/>
    <col min="6" max="6" width="6.33203125" style="1" customWidth="1"/>
    <col min="7" max="7" width="6.1640625" style="1" customWidth="1"/>
    <col min="8" max="8" width="1.6640625" style="1" customWidth="1"/>
    <col min="9" max="9" width="6.1640625" style="1" customWidth="1"/>
    <col min="10" max="10" width="9.1640625" style="1" customWidth="1"/>
    <col min="11" max="11" width="13.6640625" style="1" customWidth="1"/>
    <col min="12" max="16384" width="9" style="1"/>
  </cols>
  <sheetData>
    <row r="1" spans="1:11" ht="29" x14ac:dyDescent="0.45">
      <c r="A1" s="25" t="str">
        <f>'ใบกำกับภาษี (Original)'!A1</f>
        <v>บริษัท เพาเวอร์ คลีน พลัส จำกัด สำนักงานใหญ่</v>
      </c>
    </row>
    <row r="2" spans="1:11" ht="24" x14ac:dyDescent="0.4">
      <c r="A2" s="26" t="str">
        <f>'ใบกำกับภาษี (Original)'!A2</f>
        <v>POWER CLEAN PLUS Co., LTD.</v>
      </c>
    </row>
    <row r="3" spans="1:11" ht="24" x14ac:dyDescent="0.4">
      <c r="A3" s="26" t="str">
        <f>'ใบกำกับภาษี (Original)'!A3</f>
        <v>เลขที่ 250/65 ม.5 ต.เมืองเก่า อ.เมืองขอนแก่น จ.ขอนแก่น 40000</v>
      </c>
    </row>
    <row r="4" spans="1:11" ht="25" thickBot="1" x14ac:dyDescent="0.45">
      <c r="A4" s="26" t="str">
        <f>'ใบกำกับภาษี (Original)'!A4</f>
        <v>TEL. 061-6956633 , 062-7969847</v>
      </c>
    </row>
    <row r="5" spans="1:11" ht="25" thickBot="1" x14ac:dyDescent="0.45">
      <c r="A5" s="26" t="str">
        <f>'ใบกำกับภาษี (Original)'!A5</f>
        <v>เลขประจำตัวผู้เสียภาษี 0405562003569</v>
      </c>
      <c r="I5" s="13" t="s">
        <v>36</v>
      </c>
      <c r="J5" s="50" t="s">
        <v>71</v>
      </c>
      <c r="K5" s="24"/>
    </row>
    <row r="6" spans="1:11" ht="22" thickBot="1" x14ac:dyDescent="0.4">
      <c r="I6" s="13" t="s">
        <v>37</v>
      </c>
      <c r="J6" s="27">
        <v>43810</v>
      </c>
      <c r="K6" s="24"/>
    </row>
    <row r="7" spans="1:11" ht="3.75" customHeight="1" thickBot="1" x14ac:dyDescent="0.4">
      <c r="A7" s="45"/>
      <c r="I7" s="2"/>
      <c r="J7" s="3"/>
      <c r="K7" s="14"/>
    </row>
    <row r="8" spans="1:11" ht="28.5" customHeight="1" x14ac:dyDescent="0.4">
      <c r="A8" s="4" t="s">
        <v>0</v>
      </c>
      <c r="B8" s="89"/>
      <c r="C8" s="89"/>
      <c r="D8" s="89"/>
      <c r="E8" s="89"/>
      <c r="F8" s="90"/>
      <c r="G8" s="4" t="s">
        <v>40</v>
      </c>
      <c r="H8" s="6"/>
      <c r="I8" s="48"/>
      <c r="J8" s="89"/>
      <c r="K8" s="90"/>
    </row>
    <row r="9" spans="1:11" ht="24" x14ac:dyDescent="0.4">
      <c r="A9" s="8" t="s">
        <v>1</v>
      </c>
      <c r="B9" s="186"/>
      <c r="C9" s="186"/>
      <c r="D9" s="186"/>
      <c r="E9" s="186"/>
      <c r="F9" s="187"/>
      <c r="G9" s="8"/>
      <c r="H9" s="2"/>
      <c r="I9" s="91" t="s">
        <v>75</v>
      </c>
      <c r="J9" s="91"/>
      <c r="K9" s="92"/>
    </row>
    <row r="10" spans="1:11" ht="24" x14ac:dyDescent="0.4">
      <c r="A10" s="8" t="s">
        <v>2</v>
      </c>
      <c r="B10" s="91"/>
      <c r="C10" s="91"/>
      <c r="D10" s="91"/>
      <c r="E10" s="91"/>
      <c r="F10" s="92"/>
      <c r="G10" s="8"/>
      <c r="H10" s="2"/>
      <c r="I10" s="91" t="s">
        <v>76</v>
      </c>
      <c r="J10" s="91"/>
      <c r="K10" s="92"/>
    </row>
    <row r="11" spans="1:11" ht="24" x14ac:dyDescent="0.4">
      <c r="A11" s="10"/>
      <c r="B11" s="46"/>
      <c r="C11" s="46"/>
      <c r="D11" s="46"/>
      <c r="E11" s="46"/>
      <c r="F11" s="47"/>
      <c r="G11" s="8"/>
      <c r="I11" s="156" t="s">
        <v>77</v>
      </c>
      <c r="J11" s="156"/>
      <c r="K11" s="157"/>
    </row>
    <row r="12" spans="1:11" ht="25" thickBot="1" x14ac:dyDescent="0.45">
      <c r="A12" s="11"/>
      <c r="B12" s="97"/>
      <c r="C12" s="97"/>
      <c r="D12" s="97"/>
      <c r="E12" s="97"/>
      <c r="F12" s="155"/>
      <c r="G12" s="149"/>
      <c r="H12" s="98"/>
      <c r="I12" s="98"/>
      <c r="J12" s="98"/>
      <c r="K12" s="99"/>
    </row>
    <row r="13" spans="1:11" ht="4.5" customHeight="1" thickBot="1" x14ac:dyDescent="0.4">
      <c r="A13" s="2"/>
    </row>
    <row r="14" spans="1:11" x14ac:dyDescent="0.35">
      <c r="A14" s="100" t="s">
        <v>4</v>
      </c>
      <c r="B14" s="103" t="s">
        <v>6</v>
      </c>
      <c r="C14" s="158"/>
      <c r="D14" s="158"/>
      <c r="E14" s="158"/>
      <c r="F14" s="104"/>
      <c r="G14" s="103"/>
      <c r="H14" s="158"/>
      <c r="I14" s="104"/>
      <c r="J14" s="103" t="s">
        <v>9</v>
      </c>
      <c r="K14" s="104"/>
    </row>
    <row r="15" spans="1:11" ht="22" thickBot="1" x14ac:dyDescent="0.4">
      <c r="A15" s="101"/>
      <c r="B15" s="106" t="s">
        <v>11</v>
      </c>
      <c r="C15" s="122"/>
      <c r="D15" s="122"/>
      <c r="E15" s="122"/>
      <c r="F15" s="107"/>
      <c r="G15" s="106"/>
      <c r="H15" s="122"/>
      <c r="I15" s="107"/>
      <c r="J15" s="106" t="s">
        <v>14</v>
      </c>
      <c r="K15" s="107"/>
    </row>
    <row r="16" spans="1:11" s="31" customFormat="1" ht="24" x14ac:dyDescent="0.4">
      <c r="A16" s="28">
        <v>1</v>
      </c>
      <c r="B16" s="166" t="s">
        <v>72</v>
      </c>
      <c r="C16" s="167"/>
      <c r="D16" s="167"/>
      <c r="E16" s="167"/>
      <c r="F16" s="168"/>
      <c r="G16" s="159"/>
      <c r="H16" s="160"/>
      <c r="I16" s="38"/>
      <c r="J16" s="39"/>
      <c r="K16" s="38">
        <v>6804</v>
      </c>
    </row>
    <row r="17" spans="1:11" s="31" customFormat="1" ht="24" x14ac:dyDescent="0.4">
      <c r="A17" s="32"/>
      <c r="B17" s="110"/>
      <c r="C17" s="91"/>
      <c r="D17" s="91"/>
      <c r="E17" s="91"/>
      <c r="F17" s="92"/>
      <c r="G17" s="161"/>
      <c r="H17" s="162"/>
      <c r="I17" s="40"/>
      <c r="J17" s="41"/>
      <c r="K17" s="40"/>
    </row>
    <row r="18" spans="1:11" s="31" customFormat="1" ht="24" x14ac:dyDescent="0.4">
      <c r="A18" s="32"/>
      <c r="B18" s="32"/>
      <c r="C18" s="91"/>
      <c r="D18" s="91"/>
      <c r="E18" s="91"/>
      <c r="F18" s="92"/>
      <c r="G18" s="111"/>
      <c r="H18" s="109"/>
      <c r="I18" s="40"/>
      <c r="J18" s="41"/>
      <c r="K18" s="40"/>
    </row>
    <row r="19" spans="1:11" s="31" customFormat="1" ht="24" x14ac:dyDescent="0.4">
      <c r="A19" s="32"/>
      <c r="B19" s="32"/>
      <c r="C19" s="91"/>
      <c r="D19" s="91"/>
      <c r="E19" s="91"/>
      <c r="F19" s="92"/>
      <c r="G19" s="111"/>
      <c r="H19" s="109"/>
      <c r="I19" s="40"/>
      <c r="J19" s="41"/>
      <c r="K19" s="40"/>
    </row>
    <row r="20" spans="1:11" s="31" customFormat="1" ht="24" x14ac:dyDescent="0.4">
      <c r="A20" s="32"/>
      <c r="B20" s="32"/>
      <c r="C20" s="91"/>
      <c r="D20" s="91"/>
      <c r="E20" s="91"/>
      <c r="F20" s="92"/>
      <c r="G20" s="111"/>
      <c r="H20" s="109"/>
      <c r="I20" s="40"/>
      <c r="J20" s="41"/>
      <c r="K20" s="40"/>
    </row>
    <row r="21" spans="1:11" s="31" customFormat="1" ht="24" x14ac:dyDescent="0.4">
      <c r="A21" s="32"/>
      <c r="B21" s="32"/>
      <c r="C21" s="91"/>
      <c r="D21" s="91"/>
      <c r="E21" s="91"/>
      <c r="F21" s="92"/>
      <c r="G21" s="111"/>
      <c r="H21" s="109"/>
      <c r="I21" s="40"/>
      <c r="J21" s="41"/>
      <c r="K21" s="40"/>
    </row>
    <row r="22" spans="1:11" s="31" customFormat="1" ht="24" x14ac:dyDescent="0.4">
      <c r="A22" s="32"/>
      <c r="B22" s="32"/>
      <c r="C22" s="91"/>
      <c r="D22" s="91"/>
      <c r="E22" s="91"/>
      <c r="F22" s="92"/>
      <c r="G22" s="111"/>
      <c r="H22" s="109"/>
      <c r="I22" s="40"/>
      <c r="J22" s="41"/>
      <c r="K22" s="40"/>
    </row>
    <row r="23" spans="1:11" s="31" customFormat="1" ht="25" thickBot="1" x14ac:dyDescent="0.45">
      <c r="A23" s="35"/>
      <c r="B23" s="35"/>
      <c r="C23" s="114"/>
      <c r="D23" s="114"/>
      <c r="E23" s="114"/>
      <c r="F23" s="137"/>
      <c r="G23" s="115"/>
      <c r="H23" s="165"/>
      <c r="I23" s="42"/>
      <c r="J23" s="43"/>
      <c r="K23" s="42"/>
    </row>
    <row r="24" spans="1:11" ht="25" thickBot="1" x14ac:dyDescent="0.45">
      <c r="A24" s="4" t="s">
        <v>29</v>
      </c>
      <c r="C24" s="138"/>
      <c r="D24" s="138"/>
      <c r="E24" s="138"/>
      <c r="F24" s="138"/>
      <c r="G24" s="138"/>
      <c r="H24" s="139"/>
      <c r="I24" s="163" t="s">
        <v>19</v>
      </c>
      <c r="J24" s="164"/>
      <c r="K24" s="44">
        <f>SUM(K16:K23)</f>
        <v>6804</v>
      </c>
    </row>
    <row r="25" spans="1:11" ht="25" thickBot="1" x14ac:dyDescent="0.45">
      <c r="A25" s="169"/>
      <c r="B25" s="170"/>
      <c r="C25" s="170"/>
      <c r="D25" s="170"/>
      <c r="E25" s="170"/>
      <c r="F25" s="170"/>
      <c r="G25" s="170"/>
      <c r="H25" s="171"/>
      <c r="I25" s="163" t="s">
        <v>74</v>
      </c>
      <c r="J25" s="164"/>
      <c r="K25" s="44">
        <f>SUM(K24*5/100)</f>
        <v>340.2</v>
      </c>
    </row>
    <row r="26" spans="1:11" ht="25" thickBot="1" x14ac:dyDescent="0.45">
      <c r="A26" s="117"/>
      <c r="B26" s="118"/>
      <c r="C26" s="118"/>
      <c r="D26" s="118"/>
      <c r="E26" s="118"/>
      <c r="F26" s="118"/>
      <c r="G26" s="118"/>
      <c r="H26" s="119"/>
      <c r="I26" s="163" t="s">
        <v>20</v>
      </c>
      <c r="J26" s="164"/>
      <c r="K26" s="44">
        <f>K24-K25</f>
        <v>6463.8</v>
      </c>
    </row>
    <row r="27" spans="1:11" ht="25" thickBot="1" x14ac:dyDescent="0.45">
      <c r="A27" s="143"/>
      <c r="B27" s="123"/>
      <c r="C27" s="123"/>
      <c r="D27" s="123"/>
      <c r="E27" s="123"/>
      <c r="F27" s="123"/>
      <c r="G27" s="123"/>
      <c r="H27" s="124"/>
      <c r="I27" s="163" t="s">
        <v>70</v>
      </c>
      <c r="J27" s="164"/>
      <c r="K27" s="44"/>
    </row>
    <row r="28" spans="1:11" ht="21.75" customHeight="1" thickBot="1" x14ac:dyDescent="0.45">
      <c r="A28" s="125" t="str">
        <f>"("&amp;BAHTTEXT(K28)&amp;")"</f>
        <v>(หกพันสี่ร้อยหกสิบสามบาทแปดสิบสตางค์)</v>
      </c>
      <c r="B28" s="126"/>
      <c r="C28" s="126"/>
      <c r="D28" s="126"/>
      <c r="E28" s="126"/>
      <c r="F28" s="126"/>
      <c r="G28" s="126"/>
      <c r="H28" s="127"/>
      <c r="I28" s="163" t="s">
        <v>21</v>
      </c>
      <c r="J28" s="164"/>
      <c r="K28" s="44">
        <f>K26+K27</f>
        <v>6463.8</v>
      </c>
    </row>
    <row r="29" spans="1:11" ht="21.75" customHeight="1" x14ac:dyDescent="0.35">
      <c r="A29" s="8"/>
      <c r="K29" s="9"/>
    </row>
    <row r="30" spans="1:11" x14ac:dyDescent="0.35">
      <c r="A30" s="10"/>
      <c r="J30" s="22"/>
      <c r="K30" s="15"/>
    </row>
    <row r="31" spans="1:11" x14ac:dyDescent="0.35">
      <c r="A31" s="128" t="s">
        <v>27</v>
      </c>
      <c r="B31" s="128"/>
      <c r="C31" s="128"/>
      <c r="D31" s="128"/>
      <c r="E31" s="128"/>
      <c r="F31" s="128"/>
      <c r="G31" s="128"/>
      <c r="H31" s="128"/>
      <c r="I31" s="128"/>
      <c r="J31" s="128"/>
      <c r="K31" s="129"/>
    </row>
    <row r="32" spans="1:11" x14ac:dyDescent="0.35">
      <c r="A32" s="128" t="str">
        <f>'ใบกำกับภาษี (Original)'!E38</f>
        <v>( นายสันติ เหล่าสุโพธิ์ )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9"/>
    </row>
    <row r="33" spans="1:11" x14ac:dyDescent="0.35">
      <c r="A33" s="128" t="s">
        <v>73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9"/>
    </row>
    <row r="34" spans="1:11" x14ac:dyDescent="0.35">
      <c r="A34" s="8"/>
      <c r="B34" s="120"/>
      <c r="C34" s="120"/>
      <c r="D34" s="16"/>
      <c r="J34" s="22"/>
      <c r="K34" s="15"/>
    </row>
    <row r="35" spans="1:11" ht="22" thickBot="1" x14ac:dyDescent="0.4">
      <c r="A35" s="11"/>
      <c r="B35" s="122"/>
      <c r="C35" s="122"/>
      <c r="D35" s="17"/>
      <c r="E35" s="61"/>
      <c r="F35" s="123"/>
      <c r="G35" s="123"/>
      <c r="H35" s="123"/>
      <c r="I35" s="123"/>
      <c r="J35" s="23"/>
      <c r="K35" s="21"/>
    </row>
  </sheetData>
  <mergeCells count="48">
    <mergeCell ref="B8:F8"/>
    <mergeCell ref="J8:K8"/>
    <mergeCell ref="B9:F9"/>
    <mergeCell ref="I9:K9"/>
    <mergeCell ref="B10:F10"/>
    <mergeCell ref="I10:K10"/>
    <mergeCell ref="A14:A15"/>
    <mergeCell ref="B14:F14"/>
    <mergeCell ref="G14:I14"/>
    <mergeCell ref="J14:K14"/>
    <mergeCell ref="B15:F15"/>
    <mergeCell ref="G15:I15"/>
    <mergeCell ref="J15:K15"/>
    <mergeCell ref="B16:F16"/>
    <mergeCell ref="G16:H16"/>
    <mergeCell ref="B17:F17"/>
    <mergeCell ref="G17:H17"/>
    <mergeCell ref="I11:K11"/>
    <mergeCell ref="B12:F12"/>
    <mergeCell ref="G12:K12"/>
    <mergeCell ref="C18:F18"/>
    <mergeCell ref="G18:H18"/>
    <mergeCell ref="C19:F19"/>
    <mergeCell ref="G19:H19"/>
    <mergeCell ref="C20:F20"/>
    <mergeCell ref="G20:H20"/>
    <mergeCell ref="C21:F21"/>
    <mergeCell ref="G21:H21"/>
    <mergeCell ref="C22:F22"/>
    <mergeCell ref="G22:H22"/>
    <mergeCell ref="C23:F23"/>
    <mergeCell ref="G23:H23"/>
    <mergeCell ref="A27:H27"/>
    <mergeCell ref="I27:J27"/>
    <mergeCell ref="A28:H28"/>
    <mergeCell ref="I28:J28"/>
    <mergeCell ref="C24:H24"/>
    <mergeCell ref="I24:J24"/>
    <mergeCell ref="A25:H25"/>
    <mergeCell ref="I25:J25"/>
    <mergeCell ref="A26:H26"/>
    <mergeCell ref="I26:J26"/>
    <mergeCell ref="B34:C34"/>
    <mergeCell ref="B35:C35"/>
    <mergeCell ref="F35:I35"/>
    <mergeCell ref="A31:K31"/>
    <mergeCell ref="A32:K32"/>
    <mergeCell ref="A33:K33"/>
  </mergeCells>
  <pageMargins left="0.51181102362204722" right="0.19685039370078741" top="0.74803149606299213" bottom="0.15748031496062992" header="0.31496062992125984" footer="0.31496062992125984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  <pageSetUpPr fitToPage="1"/>
  </sheetPr>
  <dimension ref="A1:M34"/>
  <sheetViews>
    <sheetView zoomScale="125" zoomScaleNormal="125" workbookViewId="0">
      <selection activeCell="H5" sqref="H5"/>
    </sheetView>
  </sheetViews>
  <sheetFormatPr baseColWidth="10" defaultColWidth="9" defaultRowHeight="21" x14ac:dyDescent="0.35"/>
  <cols>
    <col min="1" max="1" width="7.1640625" style="1" customWidth="1"/>
    <col min="2" max="2" width="15.1640625" style="1" customWidth="1"/>
    <col min="3" max="3" width="14.1640625" style="1" customWidth="1"/>
    <col min="4" max="4" width="0.6640625" style="1" customWidth="1"/>
    <col min="5" max="5" width="9.1640625" style="1" customWidth="1"/>
    <col min="6" max="6" width="2.33203125" style="1" customWidth="1"/>
    <col min="7" max="7" width="16.5" style="1" customWidth="1"/>
    <col min="8" max="8" width="14.5" style="1" customWidth="1"/>
    <col min="9" max="9" width="14.33203125" style="1" customWidth="1"/>
    <col min="10" max="16384" width="9" style="1"/>
  </cols>
  <sheetData>
    <row r="1" spans="1:13" ht="29" x14ac:dyDescent="0.45">
      <c r="A1" s="25" t="str">
        <f>'ใบกำกับภาษี (Original)'!A1</f>
        <v>บริษัท เพาเวอร์ คลีน พลัส จำกัด สำนักงานใหญ่</v>
      </c>
    </row>
    <row r="2" spans="1:13" ht="24" x14ac:dyDescent="0.4">
      <c r="A2" s="26" t="str">
        <f>'ใบกำกับภาษี (Original)'!A2</f>
        <v>POWER CLEAN PLUS Co., LTD.</v>
      </c>
    </row>
    <row r="3" spans="1:13" ht="24" x14ac:dyDescent="0.4">
      <c r="A3" s="26" t="str">
        <f>'ใบกำกับภาษี (Original)'!A3</f>
        <v>เลขที่ 250/65 ม.5 ต.เมืองเก่า อ.เมืองขอนแก่น จ.ขอนแก่น 40000</v>
      </c>
    </row>
    <row r="4" spans="1:13" ht="25" thickBot="1" x14ac:dyDescent="0.45">
      <c r="A4" s="26" t="str">
        <f>'ใบกำกับภาษี (Original)'!A4</f>
        <v>TEL. 061-6956633 , 062-7969847</v>
      </c>
    </row>
    <row r="5" spans="1:13" ht="25" thickBot="1" x14ac:dyDescent="0.45">
      <c r="A5" s="26" t="str">
        <f>'ใบกำกับภาษี (Original)'!A5</f>
        <v>เลขประจำตัวผู้เสียภาษี 0405562003569</v>
      </c>
      <c r="G5" s="13" t="s">
        <v>36</v>
      </c>
      <c r="H5" s="76"/>
      <c r="I5" s="24"/>
    </row>
    <row r="6" spans="1:13" ht="25" thickBot="1" x14ac:dyDescent="0.45">
      <c r="G6" s="13" t="s">
        <v>37</v>
      </c>
      <c r="H6" s="85" t="s">
        <v>111</v>
      </c>
      <c r="I6" s="24"/>
    </row>
    <row r="7" spans="1:13" ht="3.75" customHeight="1" thickBot="1" x14ac:dyDescent="0.4">
      <c r="A7" s="10"/>
      <c r="G7" s="2"/>
      <c r="H7" s="3"/>
      <c r="I7" s="14"/>
    </row>
    <row r="8" spans="1:13" ht="28.5" customHeight="1" x14ac:dyDescent="0.4">
      <c r="A8" s="4" t="s">
        <v>0</v>
      </c>
      <c r="B8" s="93" t="str">
        <f>'ใบกำกับภาษี (Original)'!B8</f>
        <v>บริษัท เจียงออโตโมทีฟอุดร จำกัด สาขาหนองสำโรง (0000)</v>
      </c>
      <c r="C8" s="93"/>
      <c r="D8" s="93"/>
      <c r="E8" s="93"/>
      <c r="F8" s="94"/>
      <c r="G8" s="48"/>
      <c r="H8" s="89"/>
      <c r="I8" s="90"/>
    </row>
    <row r="9" spans="1:13" ht="24" x14ac:dyDescent="0.4">
      <c r="A9" s="8" t="s">
        <v>1</v>
      </c>
      <c r="B9" s="95" t="str">
        <f>'ใบกำกับภาษี (Original)'!B9</f>
        <v>0105546133987</v>
      </c>
      <c r="C9" s="95"/>
      <c r="D9" s="95"/>
      <c r="E9" s="95"/>
      <c r="F9" s="96"/>
      <c r="G9" s="91"/>
      <c r="H9" s="91"/>
      <c r="I9" s="92"/>
    </row>
    <row r="10" spans="1:13" ht="24" x14ac:dyDescent="0.4">
      <c r="A10" s="8" t="s">
        <v>2</v>
      </c>
      <c r="B10" s="87" t="str">
        <f>'ใบกำกับภาษี (Original)'!B10</f>
        <v>555 หมู่ 7 บ้านโนนพิบูลย์ ต.หมากแข้ง อ.เมืองอุดรธานี จ.อุดรธานี</v>
      </c>
      <c r="C10" s="87"/>
      <c r="D10" s="87"/>
      <c r="E10" s="87"/>
      <c r="F10" s="88"/>
      <c r="G10" s="81"/>
      <c r="H10" s="31"/>
      <c r="I10" s="49"/>
    </row>
    <row r="11" spans="1:13" ht="24" x14ac:dyDescent="0.4">
      <c r="A11" s="10"/>
      <c r="B11" s="72">
        <v>41000</v>
      </c>
      <c r="C11" s="26"/>
      <c r="D11" s="26"/>
      <c r="E11" s="26"/>
      <c r="F11" s="71"/>
      <c r="G11" s="31"/>
      <c r="H11" s="31"/>
      <c r="I11" s="49"/>
    </row>
    <row r="12" spans="1:13" ht="25" thickBot="1" x14ac:dyDescent="0.45">
      <c r="A12" s="11" t="s">
        <v>3</v>
      </c>
      <c r="B12" s="97"/>
      <c r="C12" s="97"/>
      <c r="D12" s="97"/>
      <c r="E12" s="98"/>
      <c r="F12" s="98"/>
      <c r="G12" s="98"/>
      <c r="H12" s="98"/>
      <c r="I12" s="99"/>
    </row>
    <row r="13" spans="1:13" ht="4.5" customHeight="1" thickBot="1" x14ac:dyDescent="0.4">
      <c r="A13" s="2"/>
    </row>
    <row r="14" spans="1:13" x14ac:dyDescent="0.35">
      <c r="A14" s="100" t="s">
        <v>79</v>
      </c>
      <c r="B14" s="18" t="s">
        <v>80</v>
      </c>
      <c r="C14" s="102" t="s">
        <v>87</v>
      </c>
      <c r="D14" s="102"/>
      <c r="E14" s="103" t="s">
        <v>85</v>
      </c>
      <c r="F14" s="104"/>
      <c r="G14" s="18" t="s">
        <v>9</v>
      </c>
      <c r="H14" s="20" t="s">
        <v>9</v>
      </c>
      <c r="I14" s="18" t="s">
        <v>84</v>
      </c>
    </row>
    <row r="15" spans="1:13" ht="22" thickBot="1" x14ac:dyDescent="0.4">
      <c r="A15" s="101"/>
      <c r="B15" s="19" t="s">
        <v>81</v>
      </c>
      <c r="C15" s="105" t="s">
        <v>81</v>
      </c>
      <c r="D15" s="105"/>
      <c r="E15" s="106" t="s">
        <v>86</v>
      </c>
      <c r="F15" s="107"/>
      <c r="G15" s="19" t="s">
        <v>82</v>
      </c>
      <c r="H15" s="19" t="s">
        <v>83</v>
      </c>
      <c r="I15" s="19"/>
    </row>
    <row r="16" spans="1:13" s="31" customFormat="1" ht="24" x14ac:dyDescent="0.4">
      <c r="A16" s="28">
        <f>'ใบกำกับภาษี (Original)'!A16</f>
        <v>1</v>
      </c>
      <c r="B16" s="29" t="s">
        <v>108</v>
      </c>
      <c r="C16" s="108" t="s">
        <v>109</v>
      </c>
      <c r="D16" s="109"/>
      <c r="E16" s="108" t="s">
        <v>110</v>
      </c>
      <c r="F16" s="109"/>
      <c r="G16" s="34">
        <v>14637.6</v>
      </c>
      <c r="H16" s="30">
        <f>G16</f>
        <v>14637.6</v>
      </c>
      <c r="I16" s="30"/>
      <c r="M16" s="1"/>
    </row>
    <row r="17" spans="1:9" s="31" customFormat="1" ht="24" x14ac:dyDescent="0.4">
      <c r="A17" s="82"/>
      <c r="B17" s="83"/>
      <c r="C17" s="108"/>
      <c r="D17" s="109"/>
      <c r="E17" s="108"/>
      <c r="F17" s="109"/>
      <c r="G17" s="84"/>
      <c r="H17" s="84"/>
      <c r="I17" s="84"/>
    </row>
    <row r="18" spans="1:9" s="31" customFormat="1" ht="24" x14ac:dyDescent="0.4">
      <c r="A18" s="32"/>
      <c r="B18" s="33"/>
      <c r="C18" s="108"/>
      <c r="D18" s="109"/>
      <c r="E18" s="108"/>
      <c r="F18" s="109"/>
      <c r="G18" s="34"/>
      <c r="H18" s="34"/>
      <c r="I18" s="34"/>
    </row>
    <row r="19" spans="1:9" s="31" customFormat="1" ht="24" x14ac:dyDescent="0.4">
      <c r="A19" s="32"/>
      <c r="B19" s="33"/>
      <c r="C19" s="110"/>
      <c r="D19" s="91"/>
      <c r="E19" s="111"/>
      <c r="F19" s="112"/>
      <c r="G19" s="34"/>
      <c r="H19" s="34"/>
      <c r="I19" s="34"/>
    </row>
    <row r="20" spans="1:9" s="31" customFormat="1" ht="24" x14ac:dyDescent="0.4">
      <c r="A20" s="32"/>
      <c r="B20" s="33"/>
      <c r="C20" s="110"/>
      <c r="D20" s="91"/>
      <c r="E20" s="111"/>
      <c r="F20" s="112"/>
      <c r="G20" s="34"/>
      <c r="H20" s="34"/>
      <c r="I20" s="34"/>
    </row>
    <row r="21" spans="1:9" s="31" customFormat="1" ht="24" x14ac:dyDescent="0.4">
      <c r="A21" s="32"/>
      <c r="B21" s="33"/>
      <c r="C21" s="110"/>
      <c r="D21" s="91"/>
      <c r="E21" s="111"/>
      <c r="F21" s="112"/>
      <c r="G21" s="34"/>
      <c r="H21" s="34"/>
      <c r="I21" s="34"/>
    </row>
    <row r="22" spans="1:9" s="31" customFormat="1" ht="24" x14ac:dyDescent="0.4">
      <c r="A22" s="32"/>
      <c r="B22" s="33"/>
      <c r="C22" s="110"/>
      <c r="D22" s="91"/>
      <c r="E22" s="111"/>
      <c r="F22" s="112"/>
      <c r="G22" s="34"/>
      <c r="H22" s="34"/>
      <c r="I22" s="34"/>
    </row>
    <row r="23" spans="1:9" s="31" customFormat="1" ht="24" x14ac:dyDescent="0.4">
      <c r="A23" s="32"/>
      <c r="B23" s="33"/>
      <c r="C23" s="110"/>
      <c r="D23" s="91"/>
      <c r="E23" s="111"/>
      <c r="F23" s="112"/>
      <c r="G23" s="34"/>
      <c r="H23" s="34"/>
      <c r="I23" s="34"/>
    </row>
    <row r="24" spans="1:9" s="31" customFormat="1" ht="25" thickBot="1" x14ac:dyDescent="0.45">
      <c r="A24" s="35"/>
      <c r="B24" s="36"/>
      <c r="C24" s="113"/>
      <c r="D24" s="114"/>
      <c r="E24" s="115"/>
      <c r="F24" s="116"/>
      <c r="G24" s="37"/>
      <c r="H24" s="37"/>
      <c r="I24" s="37"/>
    </row>
    <row r="25" spans="1:9" ht="25" thickBot="1" x14ac:dyDescent="0.45">
      <c r="A25" s="4" t="s">
        <v>94</v>
      </c>
      <c r="C25" s="5"/>
      <c r="D25" s="5"/>
      <c r="E25" s="5"/>
      <c r="F25" s="7"/>
      <c r="G25" s="65" t="s">
        <v>93</v>
      </c>
      <c r="H25" s="44">
        <f>SUM(H16:H24)</f>
        <v>14637.6</v>
      </c>
      <c r="I25" s="30"/>
    </row>
    <row r="26" spans="1:9" ht="25" thickBot="1" x14ac:dyDescent="0.45">
      <c r="A26" s="117"/>
      <c r="B26" s="118"/>
      <c r="C26" s="118"/>
      <c r="D26" s="118"/>
      <c r="E26" s="118"/>
      <c r="F26" s="119"/>
      <c r="G26" s="65" t="s">
        <v>22</v>
      </c>
      <c r="H26" s="44"/>
      <c r="I26" s="34"/>
    </row>
    <row r="27" spans="1:9" ht="21.75" customHeight="1" thickBot="1" x14ac:dyDescent="0.45">
      <c r="A27" s="125" t="str">
        <f>"("&amp;BAHTTEXT(H27)&amp;")"</f>
        <v>(หนึ่งหมื่นสี่พันหกร้อยสามสิบเจ็ดบาทหกสิบสตางค์)</v>
      </c>
      <c r="B27" s="126"/>
      <c r="C27" s="126"/>
      <c r="D27" s="126"/>
      <c r="E27" s="126"/>
      <c r="F27" s="127"/>
      <c r="G27" s="65" t="s">
        <v>21</v>
      </c>
      <c r="H27" s="44">
        <f>SUM(H25-H26)</f>
        <v>14637.6</v>
      </c>
      <c r="I27" s="37"/>
    </row>
    <row r="28" spans="1:9" ht="21.75" customHeight="1" thickBot="1" x14ac:dyDescent="0.4">
      <c r="A28" s="8"/>
      <c r="I28" s="9"/>
    </row>
    <row r="29" spans="1:9" x14ac:dyDescent="0.35">
      <c r="A29" s="12"/>
      <c r="B29" s="5"/>
      <c r="C29" s="7"/>
      <c r="F29" s="12"/>
      <c r="G29" s="5"/>
      <c r="H29" s="62"/>
      <c r="I29" s="15"/>
    </row>
    <row r="30" spans="1:9" x14ac:dyDescent="0.35">
      <c r="A30" s="8" t="s">
        <v>52</v>
      </c>
      <c r="B30" s="2" t="s">
        <v>26</v>
      </c>
      <c r="C30" s="9"/>
      <c r="E30" s="2"/>
      <c r="F30" s="8"/>
      <c r="G30" s="128" t="s">
        <v>88</v>
      </c>
      <c r="H30" s="129"/>
      <c r="I30" s="15"/>
    </row>
    <row r="31" spans="1:9" ht="12" customHeight="1" x14ac:dyDescent="0.35">
      <c r="A31" s="8"/>
      <c r="B31" s="2"/>
      <c r="C31" s="15"/>
      <c r="D31" s="2"/>
      <c r="F31" s="10"/>
      <c r="H31" s="63"/>
      <c r="I31" s="15"/>
    </row>
    <row r="32" spans="1:9" x14ac:dyDescent="0.35">
      <c r="A32" s="8"/>
      <c r="B32" s="2" t="s">
        <v>25</v>
      </c>
      <c r="C32" s="15"/>
      <c r="D32" s="2"/>
      <c r="E32" s="2"/>
      <c r="F32" s="8"/>
      <c r="G32" s="129" t="s">
        <v>99</v>
      </c>
      <c r="H32" s="129"/>
      <c r="I32" s="15"/>
    </row>
    <row r="33" spans="1:9" x14ac:dyDescent="0.35">
      <c r="A33" s="8"/>
      <c r="B33" s="120" t="s">
        <v>91</v>
      </c>
      <c r="C33" s="121"/>
      <c r="D33" s="16"/>
      <c r="E33" s="2"/>
      <c r="F33" s="8"/>
      <c r="G33" s="128" t="s">
        <v>89</v>
      </c>
      <c r="H33" s="129"/>
      <c r="I33" s="15"/>
    </row>
    <row r="34" spans="1:9" ht="22" thickBot="1" x14ac:dyDescent="0.4">
      <c r="A34" s="11" t="s">
        <v>16</v>
      </c>
      <c r="B34" s="122"/>
      <c r="C34" s="107"/>
      <c r="D34" s="17"/>
      <c r="E34" s="45"/>
      <c r="F34" s="64"/>
      <c r="G34" s="123" t="s">
        <v>90</v>
      </c>
      <c r="H34" s="124"/>
      <c r="I34" s="21"/>
    </row>
  </sheetData>
  <mergeCells count="37">
    <mergeCell ref="A26:F26"/>
    <mergeCell ref="B33:C33"/>
    <mergeCell ref="B34:C34"/>
    <mergeCell ref="G34:H34"/>
    <mergeCell ref="A27:F27"/>
    <mergeCell ref="G30:H30"/>
    <mergeCell ref="G32:H32"/>
    <mergeCell ref="G33:H33"/>
    <mergeCell ref="C22:D22"/>
    <mergeCell ref="E22:F22"/>
    <mergeCell ref="C23:D23"/>
    <mergeCell ref="E23:F23"/>
    <mergeCell ref="C24:D24"/>
    <mergeCell ref="E24:F24"/>
    <mergeCell ref="C19:D19"/>
    <mergeCell ref="E19:F19"/>
    <mergeCell ref="C20:D20"/>
    <mergeCell ref="E20:F20"/>
    <mergeCell ref="C21:D21"/>
    <mergeCell ref="E21:F21"/>
    <mergeCell ref="C18:D18"/>
    <mergeCell ref="E18:F18"/>
    <mergeCell ref="C16:D16"/>
    <mergeCell ref="E16:F16"/>
    <mergeCell ref="C17:D17"/>
    <mergeCell ref="E17:F17"/>
    <mergeCell ref="A14:A15"/>
    <mergeCell ref="C14:D14"/>
    <mergeCell ref="E14:F14"/>
    <mergeCell ref="C15:D15"/>
    <mergeCell ref="E15:F15"/>
    <mergeCell ref="H8:I8"/>
    <mergeCell ref="G9:I9"/>
    <mergeCell ref="B8:F8"/>
    <mergeCell ref="B9:F9"/>
    <mergeCell ref="B12:D12"/>
    <mergeCell ref="E12:I12"/>
  </mergeCells>
  <pageMargins left="0.31496062992125984" right="0.11811023622047245" top="0.35433070866141736" bottom="0.15748031496062992" header="0.31496062992125984" footer="0.31496062992125984"/>
  <pageSetup paperSize="9" scale="9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249977111117893"/>
    <pageSetUpPr fitToPage="1"/>
  </sheetPr>
  <dimension ref="A1:I34"/>
  <sheetViews>
    <sheetView topLeftCell="A3" zoomScale="125" workbookViewId="0">
      <selection activeCell="H5" sqref="H5"/>
    </sheetView>
  </sheetViews>
  <sheetFormatPr baseColWidth="10" defaultColWidth="9" defaultRowHeight="21" x14ac:dyDescent="0.35"/>
  <cols>
    <col min="1" max="1" width="7.1640625" style="1" customWidth="1"/>
    <col min="2" max="2" width="15.1640625" style="1" customWidth="1"/>
    <col min="3" max="3" width="14.1640625" style="1" customWidth="1"/>
    <col min="4" max="4" width="0.6640625" style="1" customWidth="1"/>
    <col min="5" max="5" width="9.1640625" style="1" customWidth="1"/>
    <col min="6" max="6" width="1.6640625" style="1" customWidth="1"/>
    <col min="7" max="7" width="16.5" style="1" customWidth="1"/>
    <col min="8" max="8" width="14.5" style="1" customWidth="1"/>
    <col min="9" max="9" width="14.33203125" style="1" customWidth="1"/>
    <col min="10" max="16384" width="9" style="1"/>
  </cols>
  <sheetData>
    <row r="1" spans="1:9" ht="29" x14ac:dyDescent="0.45">
      <c r="A1" s="25" t="str">
        <f>'ใบกำกับภาษี (Original)'!A1</f>
        <v>บริษัท เพาเวอร์ คลีน พลัส จำกัด สำนักงานใหญ่</v>
      </c>
    </row>
    <row r="2" spans="1:9" ht="24" x14ac:dyDescent="0.4">
      <c r="A2" s="26" t="str">
        <f>'ใบกำกับภาษี (Original)'!A2</f>
        <v>POWER CLEAN PLUS Co., LTD.</v>
      </c>
    </row>
    <row r="3" spans="1:9" ht="24" x14ac:dyDescent="0.4">
      <c r="A3" s="26" t="str">
        <f>'ใบกำกับภาษี (Original)'!A3</f>
        <v>เลขที่ 250/65 ม.5 ต.เมืองเก่า อ.เมืองขอนแก่น จ.ขอนแก่น 40000</v>
      </c>
    </row>
    <row r="4" spans="1:9" ht="25" thickBot="1" x14ac:dyDescent="0.45">
      <c r="A4" s="26" t="str">
        <f>'ใบกำกับภาษี (Original)'!A4</f>
        <v>TEL. 061-6956633 , 062-7969847</v>
      </c>
    </row>
    <row r="5" spans="1:9" ht="25" thickBot="1" x14ac:dyDescent="0.45">
      <c r="A5" s="26" t="str">
        <f>'ใบกำกับภาษี (Original)'!A5</f>
        <v>เลขประจำตัวผู้เสียภาษี 0405562003569</v>
      </c>
      <c r="G5" s="13" t="s">
        <v>36</v>
      </c>
      <c r="H5" s="76"/>
      <c r="I5" s="24"/>
    </row>
    <row r="6" spans="1:9" ht="25" thickBot="1" x14ac:dyDescent="0.45">
      <c r="G6" s="13" t="s">
        <v>37</v>
      </c>
      <c r="H6" s="85" t="s">
        <v>111</v>
      </c>
      <c r="I6" s="24"/>
    </row>
    <row r="7" spans="1:9" ht="3.75" customHeight="1" thickBot="1" x14ac:dyDescent="0.4">
      <c r="A7" s="10"/>
      <c r="G7" s="2"/>
      <c r="H7" s="3"/>
      <c r="I7" s="14"/>
    </row>
    <row r="8" spans="1:9" ht="28.5" customHeight="1" x14ac:dyDescent="0.4">
      <c r="A8" s="4" t="s">
        <v>0</v>
      </c>
      <c r="B8" s="93" t="str">
        <f>'ใบกำกับภาษี (Original)'!B8</f>
        <v>บริษัท เจียงออโตโมทีฟอุดร จำกัด สาขาหนองสำโรง (0000)</v>
      </c>
      <c r="C8" s="93"/>
      <c r="D8" s="93"/>
      <c r="E8" s="93"/>
      <c r="F8" s="94"/>
      <c r="G8" s="48"/>
      <c r="H8" s="89"/>
      <c r="I8" s="90"/>
    </row>
    <row r="9" spans="1:9" ht="24" x14ac:dyDescent="0.4">
      <c r="A9" s="8" t="s">
        <v>1</v>
      </c>
      <c r="B9" s="95" t="str">
        <f>'ใบกำกับภาษี (Original)'!B9</f>
        <v>0105546133987</v>
      </c>
      <c r="C9" s="95"/>
      <c r="D9" s="95"/>
      <c r="E9" s="95"/>
      <c r="F9" s="96"/>
      <c r="G9" s="91"/>
      <c r="H9" s="91"/>
      <c r="I9" s="92"/>
    </row>
    <row r="10" spans="1:9" ht="24" x14ac:dyDescent="0.4">
      <c r="A10" s="8" t="s">
        <v>2</v>
      </c>
      <c r="B10" s="87" t="str">
        <f>'ใบกำกับภาษี (Original)'!B10</f>
        <v>555 หมู่ 7 บ้านโนนพิบูลย์ ต.หมากแข้ง อ.เมืองอุดรธานี จ.อุดรธานี</v>
      </c>
      <c r="C10" s="87"/>
      <c r="D10" s="87"/>
      <c r="E10" s="87"/>
      <c r="F10" s="88"/>
      <c r="G10" s="81"/>
      <c r="H10" s="31"/>
      <c r="I10" s="49"/>
    </row>
    <row r="11" spans="1:9" ht="24" x14ac:dyDescent="0.4">
      <c r="A11" s="10"/>
      <c r="B11" s="72">
        <v>41000</v>
      </c>
      <c r="C11" s="26"/>
      <c r="D11" s="26"/>
      <c r="E11" s="26"/>
      <c r="F11" s="71"/>
      <c r="G11" s="31"/>
      <c r="H11" s="31"/>
      <c r="I11" s="49"/>
    </row>
    <row r="12" spans="1:9" ht="25" thickBot="1" x14ac:dyDescent="0.45">
      <c r="A12" s="11" t="s">
        <v>3</v>
      </c>
      <c r="B12" s="97"/>
      <c r="C12" s="97"/>
      <c r="D12" s="97"/>
      <c r="E12" s="98"/>
      <c r="F12" s="98"/>
      <c r="G12" s="98"/>
      <c r="H12" s="98"/>
      <c r="I12" s="99"/>
    </row>
    <row r="13" spans="1:9" ht="4.5" customHeight="1" thickBot="1" x14ac:dyDescent="0.4">
      <c r="A13" s="2"/>
    </row>
    <row r="14" spans="1:9" x14ac:dyDescent="0.35">
      <c r="A14" s="100" t="s">
        <v>79</v>
      </c>
      <c r="B14" s="18" t="s">
        <v>80</v>
      </c>
      <c r="C14" s="102" t="s">
        <v>87</v>
      </c>
      <c r="D14" s="102"/>
      <c r="E14" s="103" t="s">
        <v>85</v>
      </c>
      <c r="F14" s="104"/>
      <c r="G14" s="18" t="s">
        <v>9</v>
      </c>
      <c r="H14" s="20" t="s">
        <v>9</v>
      </c>
      <c r="I14" s="18" t="s">
        <v>84</v>
      </c>
    </row>
    <row r="15" spans="1:9" ht="22" thickBot="1" x14ac:dyDescent="0.4">
      <c r="A15" s="101"/>
      <c r="B15" s="19" t="s">
        <v>81</v>
      </c>
      <c r="C15" s="105" t="s">
        <v>81</v>
      </c>
      <c r="D15" s="105"/>
      <c r="E15" s="106" t="s">
        <v>86</v>
      </c>
      <c r="F15" s="107"/>
      <c r="G15" s="19" t="s">
        <v>82</v>
      </c>
      <c r="H15" s="19" t="s">
        <v>83</v>
      </c>
      <c r="I15" s="19"/>
    </row>
    <row r="16" spans="1:9" s="31" customFormat="1" ht="24" x14ac:dyDescent="0.4">
      <c r="A16" s="28">
        <f>'ใบกำกับภาษี (Original)'!A16</f>
        <v>1</v>
      </c>
      <c r="B16" s="29" t="s">
        <v>108</v>
      </c>
      <c r="C16" s="108" t="s">
        <v>109</v>
      </c>
      <c r="D16" s="109"/>
      <c r="E16" s="108" t="s">
        <v>110</v>
      </c>
      <c r="F16" s="109"/>
      <c r="G16" s="34">
        <v>14637.6</v>
      </c>
      <c r="H16" s="30">
        <f>G16</f>
        <v>14637.6</v>
      </c>
      <c r="I16" s="30"/>
    </row>
    <row r="17" spans="1:9" s="31" customFormat="1" ht="24" x14ac:dyDescent="0.4">
      <c r="A17" s="82"/>
      <c r="B17" s="83"/>
      <c r="C17" s="108"/>
      <c r="D17" s="109"/>
      <c r="E17" s="108"/>
      <c r="F17" s="109"/>
      <c r="G17" s="84"/>
      <c r="H17" s="84"/>
      <c r="I17" s="84"/>
    </row>
    <row r="18" spans="1:9" s="31" customFormat="1" ht="24" x14ac:dyDescent="0.4">
      <c r="A18" s="32"/>
      <c r="B18" s="33"/>
      <c r="C18" s="108"/>
      <c r="D18" s="109"/>
      <c r="E18" s="108"/>
      <c r="F18" s="109"/>
      <c r="G18" s="34"/>
      <c r="H18" s="34"/>
      <c r="I18" s="34"/>
    </row>
    <row r="19" spans="1:9" s="31" customFormat="1" ht="24" x14ac:dyDescent="0.4">
      <c r="A19" s="32"/>
      <c r="B19" s="33"/>
      <c r="C19" s="110"/>
      <c r="D19" s="91"/>
      <c r="E19" s="111"/>
      <c r="F19" s="112"/>
      <c r="G19" s="34"/>
      <c r="H19" s="34"/>
      <c r="I19" s="34"/>
    </row>
    <row r="20" spans="1:9" s="31" customFormat="1" ht="24" x14ac:dyDescent="0.4">
      <c r="A20" s="32"/>
      <c r="B20" s="33"/>
      <c r="C20" s="110"/>
      <c r="D20" s="91"/>
      <c r="E20" s="111"/>
      <c r="F20" s="112"/>
      <c r="G20" s="34"/>
      <c r="H20" s="34"/>
      <c r="I20" s="34"/>
    </row>
    <row r="21" spans="1:9" s="31" customFormat="1" ht="24" x14ac:dyDescent="0.4">
      <c r="A21" s="32"/>
      <c r="B21" s="33"/>
      <c r="C21" s="110"/>
      <c r="D21" s="91"/>
      <c r="E21" s="111"/>
      <c r="F21" s="112"/>
      <c r="G21" s="34"/>
      <c r="H21" s="34"/>
      <c r="I21" s="34"/>
    </row>
    <row r="22" spans="1:9" s="31" customFormat="1" ht="24" x14ac:dyDescent="0.4">
      <c r="A22" s="32"/>
      <c r="B22" s="33"/>
      <c r="C22" s="110"/>
      <c r="D22" s="91"/>
      <c r="E22" s="111"/>
      <c r="F22" s="112"/>
      <c r="G22" s="34"/>
      <c r="H22" s="34"/>
      <c r="I22" s="34"/>
    </row>
    <row r="23" spans="1:9" s="31" customFormat="1" ht="24" x14ac:dyDescent="0.4">
      <c r="A23" s="32"/>
      <c r="B23" s="33"/>
      <c r="C23" s="110"/>
      <c r="D23" s="91"/>
      <c r="E23" s="111"/>
      <c r="F23" s="112"/>
      <c r="G23" s="34"/>
      <c r="H23" s="34"/>
      <c r="I23" s="34"/>
    </row>
    <row r="24" spans="1:9" s="31" customFormat="1" ht="25" thickBot="1" x14ac:dyDescent="0.45">
      <c r="A24" s="35"/>
      <c r="B24" s="36"/>
      <c r="C24" s="113"/>
      <c r="D24" s="114"/>
      <c r="E24" s="115"/>
      <c r="F24" s="116"/>
      <c r="G24" s="37"/>
      <c r="H24" s="37"/>
      <c r="I24" s="37"/>
    </row>
    <row r="25" spans="1:9" ht="25" thickBot="1" x14ac:dyDescent="0.45">
      <c r="A25" s="4" t="s">
        <v>94</v>
      </c>
      <c r="C25" s="5"/>
      <c r="D25" s="5"/>
      <c r="E25" s="5"/>
      <c r="F25" s="7"/>
      <c r="G25" s="65" t="s">
        <v>93</v>
      </c>
      <c r="H25" s="44">
        <f>SUM(H16:H24)</f>
        <v>14637.6</v>
      </c>
      <c r="I25" s="30"/>
    </row>
    <row r="26" spans="1:9" ht="25" thickBot="1" x14ac:dyDescent="0.45">
      <c r="A26" s="117"/>
      <c r="B26" s="118"/>
      <c r="C26" s="118"/>
      <c r="D26" s="118"/>
      <c r="E26" s="118"/>
      <c r="F26" s="119"/>
      <c r="G26" s="65" t="s">
        <v>22</v>
      </c>
      <c r="H26" s="44"/>
      <c r="I26" s="34"/>
    </row>
    <row r="27" spans="1:9" ht="21.75" customHeight="1" thickBot="1" x14ac:dyDescent="0.45">
      <c r="A27" s="125" t="str">
        <f>"("&amp;BAHTTEXT(H27)&amp;")"</f>
        <v>(หนึ่งหมื่นสี่พันหกร้อยสามสิบเจ็ดบาทหกสิบสตางค์)</v>
      </c>
      <c r="B27" s="126"/>
      <c r="C27" s="126"/>
      <c r="D27" s="126"/>
      <c r="E27" s="126"/>
      <c r="F27" s="127"/>
      <c r="G27" s="65" t="s">
        <v>21</v>
      </c>
      <c r="H27" s="44">
        <f>SUM(H25-H26)</f>
        <v>14637.6</v>
      </c>
      <c r="I27" s="37"/>
    </row>
    <row r="28" spans="1:9" ht="21.75" customHeight="1" thickBot="1" x14ac:dyDescent="0.4">
      <c r="A28" s="8"/>
      <c r="I28" s="9"/>
    </row>
    <row r="29" spans="1:9" x14ac:dyDescent="0.35">
      <c r="A29" s="12"/>
      <c r="B29" s="5"/>
      <c r="C29" s="7"/>
      <c r="F29" s="12"/>
      <c r="G29" s="5"/>
      <c r="H29" s="62"/>
      <c r="I29" s="15"/>
    </row>
    <row r="30" spans="1:9" x14ac:dyDescent="0.35">
      <c r="A30" s="8" t="s">
        <v>52</v>
      </c>
      <c r="B30" s="2" t="s">
        <v>26</v>
      </c>
      <c r="C30" s="9"/>
      <c r="E30" s="2"/>
      <c r="F30" s="8"/>
      <c r="G30" s="128" t="s">
        <v>88</v>
      </c>
      <c r="H30" s="129"/>
      <c r="I30" s="15"/>
    </row>
    <row r="31" spans="1:9" ht="12" customHeight="1" x14ac:dyDescent="0.35">
      <c r="A31" s="8"/>
      <c r="B31" s="2"/>
      <c r="C31" s="15"/>
      <c r="D31" s="2"/>
      <c r="F31" s="10"/>
      <c r="H31" s="63"/>
      <c r="I31" s="15"/>
    </row>
    <row r="32" spans="1:9" x14ac:dyDescent="0.35">
      <c r="A32" s="8"/>
      <c r="B32" s="2" t="s">
        <v>25</v>
      </c>
      <c r="C32" s="15"/>
      <c r="D32" s="2"/>
      <c r="E32" s="2"/>
      <c r="F32" s="8"/>
      <c r="G32" s="129" t="s">
        <v>99</v>
      </c>
      <c r="H32" s="129"/>
      <c r="I32" s="15"/>
    </row>
    <row r="33" spans="1:9" x14ac:dyDescent="0.35">
      <c r="A33" s="8"/>
      <c r="B33" s="120" t="s">
        <v>91</v>
      </c>
      <c r="C33" s="121"/>
      <c r="D33" s="16"/>
      <c r="E33" s="2"/>
      <c r="F33" s="8"/>
      <c r="G33" s="128" t="s">
        <v>89</v>
      </c>
      <c r="H33" s="129"/>
      <c r="I33" s="15"/>
    </row>
    <row r="34" spans="1:9" ht="22" thickBot="1" x14ac:dyDescent="0.4">
      <c r="A34" s="11" t="s">
        <v>16</v>
      </c>
      <c r="B34" s="122"/>
      <c r="C34" s="107"/>
      <c r="D34" s="17"/>
      <c r="E34" s="45"/>
      <c r="F34" s="64"/>
      <c r="G34" s="123" t="s">
        <v>90</v>
      </c>
      <c r="H34" s="124"/>
      <c r="I34" s="21"/>
    </row>
  </sheetData>
  <mergeCells count="37">
    <mergeCell ref="A27:F27"/>
    <mergeCell ref="G30:H30"/>
    <mergeCell ref="G32:H32"/>
    <mergeCell ref="B33:C33"/>
    <mergeCell ref="B34:C34"/>
    <mergeCell ref="G34:H34"/>
    <mergeCell ref="G33:H33"/>
    <mergeCell ref="A26:F26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17:D17"/>
    <mergeCell ref="E17:F17"/>
    <mergeCell ref="C18:D18"/>
    <mergeCell ref="E18:F18"/>
    <mergeCell ref="C19:D19"/>
    <mergeCell ref="E19:F19"/>
    <mergeCell ref="A14:A15"/>
    <mergeCell ref="C14:D14"/>
    <mergeCell ref="E14:F14"/>
    <mergeCell ref="C15:D15"/>
    <mergeCell ref="E15:F15"/>
    <mergeCell ref="C16:D16"/>
    <mergeCell ref="E16:F16"/>
    <mergeCell ref="H8:I8"/>
    <mergeCell ref="G9:I9"/>
    <mergeCell ref="B12:D12"/>
    <mergeCell ref="E12:I12"/>
    <mergeCell ref="B8:F8"/>
    <mergeCell ref="B9:F9"/>
  </mergeCells>
  <pageMargins left="0.31496062992125984" right="0.11811023622047245" top="0.35433070866141736" bottom="0.15748031496062992" header="0.31496062992125984" footer="0.31496062992125984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ED50-72E0-4291-9706-81BC744C026D}">
  <sheetPr>
    <tabColor theme="9" tint="-0.249977111117893"/>
    <pageSetUpPr fitToPage="1"/>
  </sheetPr>
  <dimension ref="A1:I34"/>
  <sheetViews>
    <sheetView tabSelected="1" workbookViewId="0">
      <selection activeCell="H5" sqref="H5"/>
    </sheetView>
  </sheetViews>
  <sheetFormatPr baseColWidth="10" defaultColWidth="9" defaultRowHeight="21" x14ac:dyDescent="0.35"/>
  <cols>
    <col min="1" max="1" width="7.1640625" style="1" customWidth="1"/>
    <col min="2" max="2" width="15.1640625" style="1" customWidth="1"/>
    <col min="3" max="3" width="14.1640625" style="1" customWidth="1"/>
    <col min="4" max="4" width="0.6640625" style="1" customWidth="1"/>
    <col min="5" max="5" width="9.1640625" style="1" customWidth="1"/>
    <col min="6" max="6" width="1.6640625" style="1" customWidth="1"/>
    <col min="7" max="7" width="16.5" style="1" customWidth="1"/>
    <col min="8" max="8" width="14.5" style="1" customWidth="1"/>
    <col min="9" max="9" width="14.33203125" style="1" customWidth="1"/>
    <col min="10" max="16384" width="9" style="1"/>
  </cols>
  <sheetData>
    <row r="1" spans="1:9" ht="29" x14ac:dyDescent="0.45">
      <c r="A1" s="25" t="str">
        <f>'ใบกำกับภาษี (Original)'!A1</f>
        <v>บริษัท เพาเวอร์ คลีน พลัส จำกัด สำนักงานใหญ่</v>
      </c>
    </row>
    <row r="2" spans="1:9" ht="24" x14ac:dyDescent="0.4">
      <c r="A2" s="26" t="str">
        <f>'ใบกำกับภาษี (Original)'!A2</f>
        <v>POWER CLEAN PLUS Co., LTD.</v>
      </c>
    </row>
    <row r="3" spans="1:9" ht="24" x14ac:dyDescent="0.4">
      <c r="A3" s="26" t="str">
        <f>'ใบกำกับภาษี (Original)'!A3</f>
        <v>เลขที่ 250/65 ม.5 ต.เมืองเก่า อ.เมืองขอนแก่น จ.ขอนแก่น 40000</v>
      </c>
    </row>
    <row r="4" spans="1:9" ht="25" thickBot="1" x14ac:dyDescent="0.45">
      <c r="A4" s="26" t="str">
        <f>'ใบกำกับภาษี (Original)'!A4</f>
        <v>TEL. 061-6956633 , 062-7969847</v>
      </c>
    </row>
    <row r="5" spans="1:9" ht="25" thickBot="1" x14ac:dyDescent="0.45">
      <c r="A5" s="26" t="str">
        <f>'ใบกำกับภาษี (Original)'!A5</f>
        <v>เลขประจำตัวผู้เสียภาษี 0405562003569</v>
      </c>
      <c r="G5" s="13" t="s">
        <v>36</v>
      </c>
      <c r="H5" s="76"/>
      <c r="I5" s="24"/>
    </row>
    <row r="6" spans="1:9" ht="25" thickBot="1" x14ac:dyDescent="0.45">
      <c r="G6" s="13" t="s">
        <v>37</v>
      </c>
      <c r="H6" s="85" t="s">
        <v>111</v>
      </c>
      <c r="I6" s="24"/>
    </row>
    <row r="7" spans="1:9" ht="3.75" customHeight="1" thickBot="1" x14ac:dyDescent="0.4">
      <c r="A7" s="10"/>
      <c r="G7" s="2"/>
      <c r="H7" s="3"/>
      <c r="I7" s="14"/>
    </row>
    <row r="8" spans="1:9" ht="28.5" customHeight="1" x14ac:dyDescent="0.4">
      <c r="A8" s="4" t="s">
        <v>0</v>
      </c>
      <c r="B8" s="93" t="str">
        <f>'ใบกำกับภาษี (Original)'!B8</f>
        <v>บริษัท เจียงออโตโมทีฟอุดร จำกัด สาขาหนองสำโรง (0000)</v>
      </c>
      <c r="C8" s="93"/>
      <c r="D8" s="93"/>
      <c r="E8" s="93"/>
      <c r="F8" s="94"/>
      <c r="G8" s="48"/>
      <c r="H8" s="89"/>
      <c r="I8" s="90"/>
    </row>
    <row r="9" spans="1:9" ht="24" x14ac:dyDescent="0.4">
      <c r="A9" s="8" t="s">
        <v>1</v>
      </c>
      <c r="B9" s="95" t="str">
        <f>'ใบกำกับภาษี (Original)'!B9</f>
        <v>0105546133987</v>
      </c>
      <c r="C9" s="95"/>
      <c r="D9" s="95"/>
      <c r="E9" s="95"/>
      <c r="F9" s="96"/>
      <c r="G9" s="91"/>
      <c r="H9" s="91"/>
      <c r="I9" s="92"/>
    </row>
    <row r="10" spans="1:9" ht="24" x14ac:dyDescent="0.4">
      <c r="A10" s="8" t="s">
        <v>2</v>
      </c>
      <c r="B10" s="87" t="str">
        <f>'ใบกำกับภาษี (Original)'!B10</f>
        <v>555 หมู่ 7 บ้านโนนพิบูลย์ ต.หมากแข้ง อ.เมืองอุดรธานี จ.อุดรธานี</v>
      </c>
      <c r="C10" s="87"/>
      <c r="D10" s="87"/>
      <c r="E10" s="87"/>
      <c r="F10" s="88"/>
      <c r="G10" s="81"/>
      <c r="H10" s="31"/>
      <c r="I10" s="49"/>
    </row>
    <row r="11" spans="1:9" ht="24" x14ac:dyDescent="0.4">
      <c r="A11" s="10"/>
      <c r="B11" s="72">
        <v>41000</v>
      </c>
      <c r="C11" s="26"/>
      <c r="D11" s="26"/>
      <c r="E11" s="26"/>
      <c r="F11" s="71"/>
      <c r="G11" s="31"/>
      <c r="H11" s="31"/>
      <c r="I11" s="49"/>
    </row>
    <row r="12" spans="1:9" ht="25" thickBot="1" x14ac:dyDescent="0.45">
      <c r="A12" s="11" t="s">
        <v>3</v>
      </c>
      <c r="B12" s="97"/>
      <c r="C12" s="97"/>
      <c r="D12" s="97"/>
      <c r="E12" s="98"/>
      <c r="F12" s="98"/>
      <c r="G12" s="98"/>
      <c r="H12" s="98"/>
      <c r="I12" s="99"/>
    </row>
    <row r="13" spans="1:9" ht="4.5" customHeight="1" thickBot="1" x14ac:dyDescent="0.4">
      <c r="A13" s="2"/>
    </row>
    <row r="14" spans="1:9" x14ac:dyDescent="0.35">
      <c r="A14" s="100" t="s">
        <v>79</v>
      </c>
      <c r="B14" s="18" t="s">
        <v>80</v>
      </c>
      <c r="C14" s="102" t="s">
        <v>87</v>
      </c>
      <c r="D14" s="102"/>
      <c r="E14" s="103" t="s">
        <v>85</v>
      </c>
      <c r="F14" s="104"/>
      <c r="G14" s="18" t="s">
        <v>9</v>
      </c>
      <c r="H14" s="20" t="s">
        <v>9</v>
      </c>
      <c r="I14" s="18" t="s">
        <v>84</v>
      </c>
    </row>
    <row r="15" spans="1:9" ht="22" thickBot="1" x14ac:dyDescent="0.4">
      <c r="A15" s="101"/>
      <c r="B15" s="19" t="s">
        <v>81</v>
      </c>
      <c r="C15" s="105" t="s">
        <v>81</v>
      </c>
      <c r="D15" s="105"/>
      <c r="E15" s="106" t="s">
        <v>86</v>
      </c>
      <c r="F15" s="107"/>
      <c r="G15" s="19" t="s">
        <v>82</v>
      </c>
      <c r="H15" s="19" t="s">
        <v>83</v>
      </c>
      <c r="I15" s="19"/>
    </row>
    <row r="16" spans="1:9" s="31" customFormat="1" ht="24" x14ac:dyDescent="0.4">
      <c r="A16" s="28">
        <f>'ใบกำกับภาษี (Original)'!A16</f>
        <v>1</v>
      </c>
      <c r="B16" s="29" t="s">
        <v>108</v>
      </c>
      <c r="C16" s="108" t="s">
        <v>109</v>
      </c>
      <c r="D16" s="109"/>
      <c r="E16" s="108" t="s">
        <v>110</v>
      </c>
      <c r="F16" s="109"/>
      <c r="G16" s="34">
        <v>14637.6</v>
      </c>
      <c r="H16" s="30">
        <f>G16</f>
        <v>14637.6</v>
      </c>
      <c r="I16" s="30"/>
    </row>
    <row r="17" spans="1:9" s="31" customFormat="1" ht="24" x14ac:dyDescent="0.4">
      <c r="A17" s="82"/>
      <c r="B17" s="83"/>
      <c r="C17" s="108"/>
      <c r="D17" s="109"/>
      <c r="E17" s="108"/>
      <c r="F17" s="109"/>
      <c r="G17" s="84"/>
      <c r="H17" s="84"/>
      <c r="I17" s="84"/>
    </row>
    <row r="18" spans="1:9" s="31" customFormat="1" ht="24" x14ac:dyDescent="0.4">
      <c r="A18" s="32"/>
      <c r="B18" s="33"/>
      <c r="C18" s="108"/>
      <c r="D18" s="109"/>
      <c r="E18" s="108"/>
      <c r="F18" s="109"/>
      <c r="G18" s="34"/>
      <c r="H18" s="34"/>
      <c r="I18" s="34"/>
    </row>
    <row r="19" spans="1:9" s="31" customFormat="1" ht="24" x14ac:dyDescent="0.4">
      <c r="A19" s="32"/>
      <c r="B19" s="33"/>
      <c r="C19" s="110"/>
      <c r="D19" s="91"/>
      <c r="E19" s="111"/>
      <c r="F19" s="112"/>
      <c r="G19" s="34"/>
      <c r="H19" s="34"/>
      <c r="I19" s="34"/>
    </row>
    <row r="20" spans="1:9" s="31" customFormat="1" ht="24" x14ac:dyDescent="0.4">
      <c r="A20" s="32"/>
      <c r="B20" s="33"/>
      <c r="C20" s="110"/>
      <c r="D20" s="91"/>
      <c r="E20" s="111"/>
      <c r="F20" s="112"/>
      <c r="G20" s="34"/>
      <c r="H20" s="34"/>
      <c r="I20" s="34"/>
    </row>
    <row r="21" spans="1:9" s="31" customFormat="1" ht="24" x14ac:dyDescent="0.4">
      <c r="A21" s="32"/>
      <c r="B21" s="33"/>
      <c r="C21" s="110"/>
      <c r="D21" s="91"/>
      <c r="E21" s="111"/>
      <c r="F21" s="112"/>
      <c r="G21" s="34"/>
      <c r="H21" s="34"/>
      <c r="I21" s="34"/>
    </row>
    <row r="22" spans="1:9" s="31" customFormat="1" ht="24" x14ac:dyDescent="0.4">
      <c r="A22" s="32"/>
      <c r="B22" s="33"/>
      <c r="C22" s="110"/>
      <c r="D22" s="91"/>
      <c r="E22" s="111"/>
      <c r="F22" s="112"/>
      <c r="G22" s="34"/>
      <c r="H22" s="34"/>
      <c r="I22" s="34"/>
    </row>
    <row r="23" spans="1:9" s="31" customFormat="1" ht="24" x14ac:dyDescent="0.4">
      <c r="A23" s="32"/>
      <c r="B23" s="33"/>
      <c r="C23" s="110"/>
      <c r="D23" s="91"/>
      <c r="E23" s="111"/>
      <c r="F23" s="112"/>
      <c r="G23" s="34"/>
      <c r="H23" s="34"/>
      <c r="I23" s="34"/>
    </row>
    <row r="24" spans="1:9" s="31" customFormat="1" ht="25" thickBot="1" x14ac:dyDescent="0.45">
      <c r="A24" s="35"/>
      <c r="B24" s="36"/>
      <c r="C24" s="113"/>
      <c r="D24" s="114"/>
      <c r="E24" s="115"/>
      <c r="F24" s="116"/>
      <c r="G24" s="37"/>
      <c r="H24" s="37"/>
      <c r="I24" s="37"/>
    </row>
    <row r="25" spans="1:9" ht="25" thickBot="1" x14ac:dyDescent="0.45">
      <c r="A25" s="4" t="s">
        <v>94</v>
      </c>
      <c r="C25" s="5"/>
      <c r="D25" s="5"/>
      <c r="E25" s="5"/>
      <c r="F25" s="7"/>
      <c r="G25" s="65" t="s">
        <v>93</v>
      </c>
      <c r="H25" s="44">
        <f>SUM(H16:H24)</f>
        <v>14637.6</v>
      </c>
      <c r="I25" s="30"/>
    </row>
    <row r="26" spans="1:9" ht="25" thickBot="1" x14ac:dyDescent="0.45">
      <c r="A26" s="117"/>
      <c r="B26" s="118"/>
      <c r="C26" s="118"/>
      <c r="D26" s="118"/>
      <c r="E26" s="118"/>
      <c r="F26" s="119"/>
      <c r="G26" s="65" t="s">
        <v>22</v>
      </c>
      <c r="H26" s="44"/>
      <c r="I26" s="34"/>
    </row>
    <row r="27" spans="1:9" ht="21.75" customHeight="1" thickBot="1" x14ac:dyDescent="0.45">
      <c r="A27" s="125" t="str">
        <f>"("&amp;BAHTTEXT(H27)&amp;")"</f>
        <v>(หนึ่งหมื่นสี่พันหกร้อยสามสิบเจ็ดบาทหกสิบสตางค์)</v>
      </c>
      <c r="B27" s="126"/>
      <c r="C27" s="126"/>
      <c r="D27" s="126"/>
      <c r="E27" s="126"/>
      <c r="F27" s="127"/>
      <c r="G27" s="65" t="s">
        <v>21</v>
      </c>
      <c r="H27" s="44">
        <f>SUM(H25-H26)</f>
        <v>14637.6</v>
      </c>
      <c r="I27" s="37"/>
    </row>
    <row r="28" spans="1:9" ht="21.75" customHeight="1" thickBot="1" x14ac:dyDescent="0.4">
      <c r="A28" s="8"/>
      <c r="I28" s="9"/>
    </row>
    <row r="29" spans="1:9" x14ac:dyDescent="0.35">
      <c r="A29" s="12"/>
      <c r="B29" s="5"/>
      <c r="C29" s="7"/>
      <c r="F29" s="12"/>
      <c r="G29" s="5"/>
      <c r="H29" s="62"/>
      <c r="I29" s="15"/>
    </row>
    <row r="30" spans="1:9" x14ac:dyDescent="0.35">
      <c r="A30" s="8" t="s">
        <v>52</v>
      </c>
      <c r="B30" s="2" t="s">
        <v>26</v>
      </c>
      <c r="C30" s="9"/>
      <c r="E30" s="2"/>
      <c r="F30" s="8"/>
      <c r="G30" s="128" t="s">
        <v>88</v>
      </c>
      <c r="H30" s="129"/>
      <c r="I30" s="15"/>
    </row>
    <row r="31" spans="1:9" ht="12" customHeight="1" x14ac:dyDescent="0.35">
      <c r="A31" s="8"/>
      <c r="B31" s="2"/>
      <c r="C31" s="15"/>
      <c r="D31" s="2"/>
      <c r="F31" s="10"/>
      <c r="H31" s="63"/>
      <c r="I31" s="15"/>
    </row>
    <row r="32" spans="1:9" x14ac:dyDescent="0.35">
      <c r="A32" s="8"/>
      <c r="B32" s="2" t="s">
        <v>25</v>
      </c>
      <c r="C32" s="15"/>
      <c r="D32" s="2"/>
      <c r="E32" s="2"/>
      <c r="F32" s="8"/>
      <c r="G32" s="129" t="s">
        <v>99</v>
      </c>
      <c r="H32" s="129"/>
      <c r="I32" s="15"/>
    </row>
    <row r="33" spans="1:9" x14ac:dyDescent="0.35">
      <c r="A33" s="8"/>
      <c r="B33" s="120" t="s">
        <v>91</v>
      </c>
      <c r="C33" s="121"/>
      <c r="D33" s="16"/>
      <c r="E33" s="2"/>
      <c r="F33" s="8"/>
      <c r="G33" s="128" t="s">
        <v>89</v>
      </c>
      <c r="H33" s="129"/>
      <c r="I33" s="15"/>
    </row>
    <row r="34" spans="1:9" ht="22" thickBot="1" x14ac:dyDescent="0.4">
      <c r="A34" s="11" t="s">
        <v>16</v>
      </c>
      <c r="B34" s="122"/>
      <c r="C34" s="107"/>
      <c r="D34" s="17"/>
      <c r="E34" s="45"/>
      <c r="F34" s="64"/>
      <c r="G34" s="123" t="s">
        <v>90</v>
      </c>
      <c r="H34" s="124"/>
      <c r="I34" s="21"/>
    </row>
  </sheetData>
  <mergeCells count="37">
    <mergeCell ref="C16:D16"/>
    <mergeCell ref="E16:F16"/>
    <mergeCell ref="B8:F8"/>
    <mergeCell ref="H8:I8"/>
    <mergeCell ref="B9:F9"/>
    <mergeCell ref="G9:I9"/>
    <mergeCell ref="B12:D12"/>
    <mergeCell ref="E12:I12"/>
    <mergeCell ref="A14:A15"/>
    <mergeCell ref="C14:D14"/>
    <mergeCell ref="E14:F14"/>
    <mergeCell ref="C15:D15"/>
    <mergeCell ref="E15:F15"/>
    <mergeCell ref="C17:D17"/>
    <mergeCell ref="E17:F17"/>
    <mergeCell ref="C18:D18"/>
    <mergeCell ref="E18:F18"/>
    <mergeCell ref="C19:D19"/>
    <mergeCell ref="E19:F19"/>
    <mergeCell ref="A27:F27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A26:F26"/>
    <mergeCell ref="G30:H30"/>
    <mergeCell ref="G32:H32"/>
    <mergeCell ref="B33:C33"/>
    <mergeCell ref="G33:H33"/>
    <mergeCell ref="B34:C34"/>
    <mergeCell ref="G34:H34"/>
  </mergeCells>
  <pageMargins left="0.31496062992125984" right="0.11811023622047245" top="0.35433070866141736" bottom="0.15748031496062992" header="0.31496062992125984" footer="0.3149606299212598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ใบกำกับภาษี (Original)</vt:lpstr>
      <vt:lpstr>ใบกำกับภาษี (Copy)</vt:lpstr>
      <vt:lpstr>ใบกำกับภาษี (Copy Acc) </vt:lpstr>
      <vt:lpstr>ใบเสร็จรับเงิน Original</vt:lpstr>
      <vt:lpstr>ใบเสร็จรับเงิน Copy</vt:lpstr>
      <vt:lpstr>ใบเสร็จรับเงิน Copy Acc</vt:lpstr>
      <vt:lpstr>ใบลดหนี้ (Original)</vt:lpstr>
      <vt:lpstr>ใบลดหนี้ (Copy)</vt:lpstr>
      <vt:lpstr>ใบลดหนี้ (copy Acc) </vt:lpstr>
      <vt:lpstr>ใบเพิ่มหนี้</vt:lpstr>
      <vt:lpstr>ใบเสร็จรับเงินรายได้อื่น</vt:lpstr>
      <vt:lpstr>ใบวางบิล ต้นฉบับ</vt:lpstr>
      <vt:lpstr>ใบวางบิล (สำเนา)</vt:lpstr>
      <vt:lpstr>ใบวางบิล (สำเนา)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Pikanate Makewan</cp:lastModifiedBy>
  <cp:lastPrinted>2025-09-02T09:20:51Z</cp:lastPrinted>
  <dcterms:created xsi:type="dcterms:W3CDTF">2017-05-06T02:10:46Z</dcterms:created>
  <dcterms:modified xsi:type="dcterms:W3CDTF">2026-05-10T05:18:13Z</dcterms:modified>
</cp:coreProperties>
</file>